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dw/Desktop/"/>
    </mc:Choice>
  </mc:AlternateContent>
  <xr:revisionPtr revIDLastSave="0" documentId="8_{6B7B6821-D901-274D-BE24-108A3C54C6F4}" xr6:coauthVersionLast="47" xr6:coauthVersionMax="47" xr10:uidLastSave="{00000000-0000-0000-0000-000000000000}"/>
  <bookViews>
    <workbookView xWindow="1080" yWindow="620" windowWidth="27700" windowHeight="15640" xr2:uid="{00B46C69-B879-7D41-875D-465236E3B2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1" i="1" l="1"/>
  <c r="I321" i="1"/>
  <c r="G321" i="1"/>
  <c r="K320" i="1"/>
  <c r="I320" i="1"/>
  <c r="G320" i="1"/>
  <c r="K319" i="1"/>
  <c r="I319" i="1"/>
  <c r="G319" i="1"/>
  <c r="K318" i="1"/>
  <c r="I318" i="1"/>
  <c r="G318" i="1"/>
  <c r="K317" i="1"/>
  <c r="I317" i="1"/>
  <c r="G317" i="1"/>
  <c r="K316" i="1"/>
  <c r="I316" i="1"/>
  <c r="G316" i="1"/>
  <c r="K315" i="1"/>
  <c r="I315" i="1"/>
  <c r="G315" i="1"/>
  <c r="K314" i="1"/>
  <c r="I314" i="1"/>
  <c r="G314" i="1"/>
  <c r="K313" i="1"/>
  <c r="I313" i="1"/>
  <c r="G313" i="1"/>
  <c r="K312" i="1"/>
  <c r="I312" i="1"/>
  <c r="G312" i="1"/>
  <c r="K311" i="1"/>
  <c r="I311" i="1"/>
  <c r="G311" i="1"/>
  <c r="K310" i="1"/>
  <c r="I310" i="1"/>
  <c r="G310" i="1"/>
  <c r="K309" i="1"/>
  <c r="I309" i="1"/>
  <c r="G309" i="1"/>
  <c r="K308" i="1"/>
  <c r="I308" i="1"/>
  <c r="G308" i="1"/>
  <c r="K307" i="1"/>
  <c r="I307" i="1"/>
  <c r="G307" i="1"/>
  <c r="K306" i="1"/>
  <c r="I306" i="1"/>
  <c r="G306" i="1"/>
  <c r="K305" i="1"/>
  <c r="I305" i="1"/>
  <c r="G305" i="1"/>
  <c r="K304" i="1"/>
  <c r="I304" i="1"/>
  <c r="G304" i="1"/>
  <c r="K303" i="1"/>
  <c r="I303" i="1"/>
  <c r="G303" i="1"/>
  <c r="K302" i="1"/>
  <c r="I302" i="1"/>
  <c r="G302" i="1"/>
  <c r="K301" i="1"/>
  <c r="I301" i="1"/>
  <c r="G301" i="1"/>
  <c r="K300" i="1"/>
  <c r="I300" i="1"/>
  <c r="G300" i="1"/>
  <c r="K299" i="1"/>
  <c r="I299" i="1"/>
  <c r="G299" i="1"/>
  <c r="K298" i="1"/>
  <c r="I298" i="1"/>
  <c r="G298" i="1"/>
  <c r="K297" i="1"/>
  <c r="I297" i="1"/>
  <c r="G297" i="1"/>
  <c r="K296" i="1"/>
  <c r="I296" i="1"/>
  <c r="G296" i="1"/>
  <c r="K295" i="1"/>
  <c r="I295" i="1"/>
  <c r="G295" i="1"/>
  <c r="K294" i="1"/>
  <c r="I294" i="1"/>
  <c r="G294" i="1"/>
  <c r="K293" i="1"/>
  <c r="I293" i="1"/>
  <c r="G293" i="1"/>
  <c r="K292" i="1"/>
  <c r="I292" i="1"/>
  <c r="G292" i="1"/>
  <c r="K291" i="1"/>
  <c r="I291" i="1"/>
  <c r="G291" i="1"/>
  <c r="K290" i="1"/>
  <c r="I290" i="1"/>
  <c r="G290" i="1"/>
  <c r="K289" i="1"/>
  <c r="I289" i="1"/>
  <c r="G289" i="1"/>
  <c r="K288" i="1"/>
  <c r="I288" i="1"/>
  <c r="G288" i="1"/>
  <c r="K287" i="1"/>
  <c r="I287" i="1"/>
  <c r="G287" i="1"/>
  <c r="K286" i="1"/>
  <c r="I286" i="1"/>
  <c r="G286" i="1"/>
  <c r="K285" i="1"/>
  <c r="I285" i="1"/>
  <c r="G285" i="1"/>
  <c r="K284" i="1"/>
  <c r="I284" i="1"/>
  <c r="G284" i="1"/>
  <c r="K283" i="1"/>
  <c r="I283" i="1"/>
  <c r="G283" i="1"/>
  <c r="K282" i="1"/>
  <c r="I282" i="1"/>
  <c r="G282" i="1"/>
  <c r="K281" i="1"/>
  <c r="I281" i="1"/>
  <c r="G281" i="1"/>
  <c r="K280" i="1"/>
  <c r="I280" i="1"/>
  <c r="G280" i="1"/>
  <c r="K279" i="1"/>
  <c r="I279" i="1"/>
  <c r="G279" i="1"/>
  <c r="K278" i="1"/>
  <c r="I278" i="1"/>
  <c r="G278" i="1"/>
  <c r="K277" i="1"/>
  <c r="I277" i="1"/>
  <c r="G277" i="1"/>
  <c r="K276" i="1"/>
  <c r="I276" i="1"/>
  <c r="G276" i="1"/>
  <c r="K275" i="1"/>
  <c r="I275" i="1"/>
  <c r="G275" i="1"/>
  <c r="K274" i="1"/>
  <c r="I274" i="1"/>
  <c r="G274" i="1"/>
  <c r="K273" i="1"/>
  <c r="I273" i="1"/>
  <c r="G273" i="1"/>
  <c r="K272" i="1"/>
  <c r="I272" i="1"/>
  <c r="G272" i="1"/>
  <c r="K271" i="1"/>
  <c r="I271" i="1"/>
  <c r="G271" i="1"/>
  <c r="K270" i="1"/>
  <c r="I270" i="1"/>
  <c r="G270" i="1"/>
  <c r="K269" i="1"/>
  <c r="I269" i="1"/>
  <c r="G269" i="1"/>
  <c r="K268" i="1"/>
  <c r="I268" i="1"/>
  <c r="G268" i="1"/>
  <c r="K267" i="1"/>
  <c r="I267" i="1"/>
  <c r="G267" i="1"/>
  <c r="K266" i="1"/>
  <c r="I266" i="1"/>
  <c r="G266" i="1"/>
  <c r="K265" i="1"/>
  <c r="I265" i="1"/>
  <c r="G265" i="1"/>
  <c r="K264" i="1"/>
  <c r="I264" i="1"/>
  <c r="G264" i="1"/>
  <c r="K263" i="1"/>
  <c r="I263" i="1"/>
  <c r="G263" i="1"/>
  <c r="K262" i="1"/>
  <c r="I262" i="1"/>
  <c r="G262" i="1"/>
  <c r="K261" i="1"/>
  <c r="I261" i="1"/>
  <c r="G261" i="1"/>
  <c r="K260" i="1"/>
  <c r="I260" i="1"/>
  <c r="G260" i="1"/>
  <c r="K259" i="1"/>
  <c r="I259" i="1"/>
  <c r="G259" i="1"/>
  <c r="K258" i="1"/>
  <c r="I258" i="1"/>
  <c r="G258" i="1"/>
  <c r="K257" i="1"/>
  <c r="I257" i="1"/>
  <c r="G257" i="1"/>
  <c r="K256" i="1"/>
  <c r="I256" i="1"/>
  <c r="G256" i="1"/>
  <c r="K255" i="1"/>
  <c r="I255" i="1"/>
  <c r="G255" i="1"/>
  <c r="K254" i="1"/>
  <c r="I254" i="1"/>
  <c r="G254" i="1"/>
  <c r="K253" i="1"/>
  <c r="I253" i="1"/>
  <c r="G253" i="1"/>
  <c r="K252" i="1"/>
  <c r="I252" i="1"/>
  <c r="G252" i="1"/>
  <c r="K251" i="1"/>
  <c r="I251" i="1"/>
  <c r="G251" i="1"/>
  <c r="K250" i="1"/>
  <c r="I250" i="1"/>
  <c r="G250" i="1"/>
  <c r="K249" i="1"/>
  <c r="I249" i="1"/>
  <c r="G249" i="1"/>
  <c r="K248" i="1"/>
  <c r="I248" i="1"/>
  <c r="G248" i="1"/>
  <c r="K247" i="1"/>
  <c r="I247" i="1"/>
  <c r="G247" i="1"/>
  <c r="K246" i="1"/>
  <c r="I246" i="1"/>
  <c r="G246" i="1"/>
  <c r="K245" i="1"/>
  <c r="I245" i="1"/>
  <c r="G245" i="1"/>
  <c r="K244" i="1"/>
  <c r="I244" i="1"/>
  <c r="G244" i="1"/>
  <c r="K243" i="1"/>
  <c r="I243" i="1"/>
  <c r="G243" i="1"/>
  <c r="K242" i="1"/>
  <c r="I242" i="1"/>
  <c r="G242" i="1"/>
  <c r="K241" i="1"/>
  <c r="I241" i="1"/>
  <c r="G241" i="1"/>
  <c r="K240" i="1"/>
  <c r="I240" i="1"/>
  <c r="G240" i="1"/>
  <c r="K239" i="1"/>
  <c r="I239" i="1"/>
  <c r="G239" i="1"/>
  <c r="K238" i="1"/>
  <c r="I238" i="1"/>
  <c r="G238" i="1"/>
  <c r="K237" i="1"/>
  <c r="I237" i="1"/>
  <c r="G237" i="1"/>
  <c r="K236" i="1"/>
  <c r="I236" i="1"/>
  <c r="G236" i="1"/>
  <c r="K235" i="1"/>
  <c r="I235" i="1"/>
  <c r="G235" i="1"/>
  <c r="K234" i="1"/>
  <c r="I234" i="1"/>
  <c r="G234" i="1"/>
  <c r="K233" i="1"/>
  <c r="I233" i="1"/>
  <c r="G233" i="1"/>
  <c r="K232" i="1"/>
  <c r="I232" i="1"/>
  <c r="G232" i="1"/>
  <c r="K231" i="1"/>
  <c r="I231" i="1"/>
  <c r="G231" i="1"/>
  <c r="K230" i="1"/>
  <c r="I230" i="1"/>
  <c r="G230" i="1"/>
  <c r="K229" i="1"/>
  <c r="I229" i="1"/>
  <c r="G229" i="1"/>
  <c r="K228" i="1"/>
  <c r="I228" i="1"/>
  <c r="G228" i="1"/>
  <c r="K227" i="1"/>
  <c r="I227" i="1"/>
  <c r="G227" i="1"/>
  <c r="K226" i="1"/>
  <c r="I226" i="1"/>
  <c r="G226" i="1"/>
  <c r="K225" i="1"/>
  <c r="I225" i="1"/>
  <c r="G225" i="1"/>
  <c r="K224" i="1"/>
  <c r="I224" i="1"/>
  <c r="G224" i="1"/>
  <c r="K223" i="1"/>
  <c r="I223" i="1"/>
  <c r="G223" i="1"/>
  <c r="K222" i="1"/>
  <c r="I222" i="1"/>
  <c r="G222" i="1"/>
  <c r="K221" i="1"/>
  <c r="I221" i="1"/>
  <c r="G221" i="1"/>
  <c r="K220" i="1"/>
  <c r="I220" i="1"/>
  <c r="G220" i="1"/>
  <c r="K219" i="1"/>
  <c r="I219" i="1"/>
  <c r="G219" i="1"/>
  <c r="K218" i="1"/>
  <c r="I218" i="1"/>
  <c r="G218" i="1"/>
  <c r="K217" i="1"/>
  <c r="I217" i="1"/>
  <c r="G217" i="1"/>
  <c r="K216" i="1"/>
  <c r="I216" i="1"/>
  <c r="G216" i="1"/>
  <c r="K215" i="1"/>
  <c r="I215" i="1"/>
  <c r="G215" i="1"/>
  <c r="K214" i="1"/>
  <c r="I214" i="1"/>
  <c r="G214" i="1"/>
  <c r="K213" i="1"/>
  <c r="I213" i="1"/>
  <c r="G213" i="1"/>
  <c r="K212" i="1"/>
  <c r="I212" i="1"/>
  <c r="G212" i="1"/>
  <c r="K211" i="1"/>
  <c r="I211" i="1"/>
  <c r="G211" i="1"/>
  <c r="K210" i="1"/>
  <c r="I210" i="1"/>
  <c r="G210" i="1"/>
  <c r="K209" i="1"/>
  <c r="I209" i="1"/>
  <c r="G209" i="1"/>
  <c r="K208" i="1"/>
  <c r="I208" i="1"/>
  <c r="G208" i="1"/>
  <c r="K207" i="1"/>
  <c r="I207" i="1"/>
  <c r="G207" i="1"/>
  <c r="K206" i="1"/>
  <c r="I206" i="1"/>
  <c r="G206" i="1"/>
  <c r="K205" i="1"/>
  <c r="I205" i="1"/>
  <c r="G205" i="1"/>
  <c r="K204" i="1"/>
  <c r="I204" i="1"/>
  <c r="G204" i="1"/>
  <c r="K203" i="1"/>
  <c r="I203" i="1"/>
  <c r="G203" i="1"/>
  <c r="K202" i="1"/>
  <c r="I202" i="1"/>
  <c r="G202" i="1"/>
  <c r="K201" i="1"/>
  <c r="I201" i="1"/>
  <c r="G201" i="1"/>
  <c r="K200" i="1"/>
  <c r="I200" i="1"/>
  <c r="G200" i="1"/>
  <c r="K199" i="1"/>
  <c r="I199" i="1"/>
  <c r="G199" i="1"/>
  <c r="K198" i="1"/>
  <c r="I198" i="1"/>
  <c r="G198" i="1"/>
  <c r="K197" i="1"/>
  <c r="I197" i="1"/>
  <c r="G197" i="1"/>
  <c r="K196" i="1"/>
  <c r="I196" i="1"/>
  <c r="G196" i="1"/>
  <c r="K195" i="1"/>
  <c r="I195" i="1"/>
  <c r="G195" i="1"/>
  <c r="K194" i="1"/>
  <c r="I194" i="1"/>
  <c r="G194" i="1"/>
  <c r="K193" i="1"/>
  <c r="I193" i="1"/>
  <c r="G193" i="1"/>
  <c r="K192" i="1"/>
  <c r="I192" i="1"/>
  <c r="G192" i="1"/>
  <c r="K191" i="1"/>
  <c r="I191" i="1"/>
  <c r="G191" i="1"/>
  <c r="K190" i="1"/>
  <c r="I190" i="1"/>
  <c r="G190" i="1"/>
  <c r="K189" i="1"/>
  <c r="I189" i="1"/>
  <c r="G189" i="1"/>
  <c r="K188" i="1"/>
  <c r="I188" i="1"/>
  <c r="G188" i="1"/>
  <c r="K187" i="1"/>
  <c r="I187" i="1"/>
  <c r="G187" i="1"/>
  <c r="K186" i="1"/>
  <c r="I186" i="1"/>
  <c r="G186" i="1"/>
  <c r="K185" i="1"/>
  <c r="I185" i="1"/>
  <c r="G185" i="1"/>
  <c r="K184" i="1"/>
  <c r="I184" i="1"/>
  <c r="G184" i="1"/>
  <c r="K183" i="1"/>
  <c r="I183" i="1"/>
  <c r="G183" i="1"/>
  <c r="K182" i="1"/>
  <c r="I182" i="1"/>
  <c r="G182" i="1"/>
  <c r="K181" i="1"/>
  <c r="I181" i="1"/>
  <c r="G181" i="1"/>
  <c r="K180" i="1"/>
  <c r="I180" i="1"/>
  <c r="G180" i="1"/>
  <c r="K179" i="1"/>
  <c r="I179" i="1"/>
  <c r="G179" i="1"/>
  <c r="K178" i="1"/>
  <c r="I178" i="1"/>
  <c r="G178" i="1"/>
  <c r="K177" i="1"/>
  <c r="I177" i="1"/>
  <c r="G177" i="1"/>
  <c r="K176" i="1"/>
  <c r="I176" i="1"/>
  <c r="G176" i="1"/>
  <c r="K175" i="1"/>
  <c r="I175" i="1"/>
  <c r="G175" i="1"/>
  <c r="K174" i="1"/>
  <c r="I174" i="1"/>
  <c r="G174" i="1"/>
  <c r="K173" i="1"/>
  <c r="I173" i="1"/>
  <c r="G173" i="1"/>
  <c r="K172" i="1"/>
  <c r="I172" i="1"/>
  <c r="G172" i="1"/>
  <c r="K171" i="1"/>
  <c r="I171" i="1"/>
  <c r="G171" i="1"/>
  <c r="K170" i="1"/>
  <c r="I170" i="1"/>
  <c r="G170" i="1"/>
  <c r="K169" i="1"/>
  <c r="I169" i="1"/>
  <c r="G169" i="1"/>
  <c r="K168" i="1"/>
  <c r="I168" i="1"/>
  <c r="G168" i="1"/>
  <c r="K167" i="1"/>
  <c r="I167" i="1"/>
  <c r="G167" i="1"/>
  <c r="K166" i="1"/>
  <c r="I166" i="1"/>
  <c r="G166" i="1"/>
  <c r="K165" i="1"/>
  <c r="I165" i="1"/>
  <c r="G165" i="1"/>
  <c r="K164" i="1"/>
  <c r="I164" i="1"/>
  <c r="G164" i="1"/>
  <c r="K163" i="1"/>
  <c r="I163" i="1"/>
  <c r="G163" i="1"/>
  <c r="K162" i="1"/>
  <c r="I162" i="1"/>
  <c r="G162" i="1"/>
  <c r="K161" i="1"/>
  <c r="I161" i="1"/>
  <c r="G161" i="1"/>
  <c r="K160" i="1"/>
  <c r="I160" i="1"/>
  <c r="G160" i="1"/>
  <c r="K159" i="1"/>
  <c r="I159" i="1"/>
  <c r="G159" i="1"/>
  <c r="K158" i="1"/>
  <c r="I158" i="1"/>
  <c r="G158" i="1"/>
  <c r="K157" i="1"/>
  <c r="I157" i="1"/>
  <c r="G157" i="1"/>
  <c r="K156" i="1"/>
  <c r="I156" i="1"/>
  <c r="G156" i="1"/>
  <c r="K155" i="1"/>
  <c r="I155" i="1"/>
  <c r="G155" i="1"/>
  <c r="K154" i="1"/>
  <c r="I154" i="1"/>
  <c r="G154" i="1"/>
  <c r="K153" i="1"/>
  <c r="I153" i="1"/>
  <c r="G153" i="1"/>
  <c r="K152" i="1"/>
  <c r="I152" i="1"/>
  <c r="G152" i="1"/>
  <c r="K151" i="1"/>
  <c r="I151" i="1"/>
  <c r="G151" i="1"/>
  <c r="K150" i="1"/>
  <c r="I150" i="1"/>
  <c r="G150" i="1"/>
  <c r="K149" i="1"/>
  <c r="I149" i="1"/>
  <c r="G149" i="1"/>
  <c r="K148" i="1"/>
  <c r="I148" i="1"/>
  <c r="G148" i="1"/>
  <c r="K147" i="1"/>
  <c r="I147" i="1"/>
  <c r="G147" i="1"/>
  <c r="K146" i="1"/>
  <c r="I146" i="1"/>
  <c r="G146" i="1"/>
  <c r="K145" i="1"/>
  <c r="I145" i="1"/>
  <c r="G145" i="1"/>
  <c r="K144" i="1"/>
  <c r="I144" i="1"/>
  <c r="G144" i="1"/>
  <c r="K143" i="1"/>
  <c r="I143" i="1"/>
  <c r="G143" i="1"/>
  <c r="K142" i="1"/>
  <c r="I142" i="1"/>
  <c r="G142" i="1"/>
  <c r="K141" i="1"/>
  <c r="I141" i="1"/>
  <c r="G141" i="1"/>
  <c r="K140" i="1"/>
  <c r="I140" i="1"/>
  <c r="G140" i="1"/>
  <c r="K139" i="1"/>
  <c r="I139" i="1"/>
  <c r="G139" i="1"/>
  <c r="K138" i="1"/>
  <c r="I138" i="1"/>
  <c r="G138" i="1"/>
  <c r="K137" i="1"/>
  <c r="I137" i="1"/>
  <c r="G137" i="1"/>
  <c r="K136" i="1"/>
  <c r="I136" i="1"/>
  <c r="G136" i="1"/>
  <c r="K135" i="1"/>
  <c r="I135" i="1"/>
  <c r="G135" i="1"/>
  <c r="K134" i="1"/>
  <c r="I134" i="1"/>
  <c r="G134" i="1"/>
  <c r="K133" i="1"/>
  <c r="I133" i="1"/>
  <c r="G133" i="1"/>
  <c r="K132" i="1"/>
  <c r="I132" i="1"/>
  <c r="G132" i="1"/>
  <c r="K131" i="1"/>
  <c r="I131" i="1"/>
  <c r="G131" i="1"/>
  <c r="K130" i="1"/>
  <c r="I130" i="1"/>
  <c r="G130" i="1"/>
  <c r="K129" i="1"/>
  <c r="I129" i="1"/>
  <c r="G129" i="1"/>
  <c r="K128" i="1"/>
  <c r="I128" i="1"/>
  <c r="G128" i="1"/>
  <c r="K127" i="1"/>
  <c r="I127" i="1"/>
  <c r="G127" i="1"/>
  <c r="K126" i="1"/>
  <c r="I126" i="1"/>
  <c r="G126" i="1"/>
  <c r="K125" i="1"/>
  <c r="I125" i="1"/>
  <c r="G125" i="1"/>
  <c r="K124" i="1"/>
  <c r="I124" i="1"/>
  <c r="G124" i="1"/>
  <c r="K123" i="1"/>
  <c r="I123" i="1"/>
  <c r="G123" i="1"/>
  <c r="K122" i="1"/>
  <c r="I122" i="1"/>
  <c r="G122" i="1"/>
  <c r="K121" i="1"/>
  <c r="I121" i="1"/>
  <c r="G121" i="1"/>
  <c r="K120" i="1"/>
  <c r="I120" i="1"/>
  <c r="G120" i="1"/>
  <c r="K119" i="1"/>
  <c r="I119" i="1"/>
  <c r="G119" i="1"/>
  <c r="K118" i="1"/>
  <c r="I118" i="1"/>
  <c r="G118" i="1"/>
  <c r="K117" i="1"/>
  <c r="I117" i="1"/>
  <c r="G117" i="1"/>
  <c r="K116" i="1"/>
  <c r="I116" i="1"/>
  <c r="G116" i="1"/>
  <c r="K115" i="1"/>
  <c r="I115" i="1"/>
  <c r="G115" i="1"/>
  <c r="K114" i="1"/>
  <c r="I114" i="1"/>
  <c r="G114" i="1"/>
  <c r="K113" i="1"/>
  <c r="I113" i="1"/>
  <c r="G113" i="1"/>
  <c r="K112" i="1"/>
  <c r="I112" i="1"/>
  <c r="G112" i="1"/>
  <c r="K111" i="1"/>
  <c r="I111" i="1"/>
  <c r="G111" i="1"/>
  <c r="K110" i="1"/>
  <c r="I110" i="1"/>
  <c r="G110" i="1"/>
  <c r="K109" i="1"/>
  <c r="I109" i="1"/>
  <c r="G109" i="1"/>
  <c r="K108" i="1"/>
  <c r="I108" i="1"/>
  <c r="G108" i="1"/>
  <c r="K107" i="1"/>
  <c r="I107" i="1"/>
  <c r="G107" i="1"/>
  <c r="K106" i="1"/>
  <c r="I106" i="1"/>
  <c r="G106" i="1"/>
  <c r="K105" i="1"/>
  <c r="I105" i="1"/>
  <c r="G105" i="1"/>
  <c r="K104" i="1"/>
  <c r="I104" i="1"/>
  <c r="G104" i="1"/>
  <c r="K103" i="1"/>
  <c r="I103" i="1"/>
  <c r="G103" i="1"/>
  <c r="K102" i="1"/>
  <c r="I102" i="1"/>
  <c r="G102" i="1"/>
  <c r="K101" i="1"/>
  <c r="I101" i="1"/>
  <c r="G101" i="1"/>
  <c r="K100" i="1"/>
  <c r="I100" i="1"/>
  <c r="G100" i="1"/>
  <c r="K99" i="1"/>
  <c r="I99" i="1"/>
  <c r="G99" i="1"/>
  <c r="K98" i="1"/>
  <c r="I98" i="1"/>
  <c r="G98" i="1"/>
  <c r="K97" i="1"/>
  <c r="I97" i="1"/>
  <c r="G97" i="1"/>
  <c r="K96" i="1"/>
  <c r="I96" i="1"/>
  <c r="G96" i="1"/>
  <c r="K95" i="1"/>
  <c r="I95" i="1"/>
  <c r="G95" i="1"/>
  <c r="K94" i="1"/>
  <c r="I94" i="1"/>
  <c r="G94" i="1"/>
  <c r="K93" i="1"/>
  <c r="I93" i="1"/>
  <c r="G93" i="1"/>
  <c r="K92" i="1"/>
  <c r="I92" i="1"/>
  <c r="G92" i="1"/>
  <c r="K91" i="1"/>
  <c r="I91" i="1"/>
  <c r="G91" i="1"/>
  <c r="K90" i="1"/>
  <c r="I90" i="1"/>
  <c r="G90" i="1"/>
  <c r="K89" i="1"/>
  <c r="I89" i="1"/>
  <c r="G89" i="1"/>
  <c r="K88" i="1"/>
  <c r="I88" i="1"/>
  <c r="G88" i="1"/>
  <c r="K87" i="1"/>
  <c r="I87" i="1"/>
  <c r="G87" i="1"/>
  <c r="K86" i="1"/>
  <c r="I86" i="1"/>
  <c r="G86" i="1"/>
  <c r="K85" i="1"/>
  <c r="I85" i="1"/>
  <c r="G85" i="1"/>
  <c r="K84" i="1"/>
  <c r="I84" i="1"/>
  <c r="G84" i="1"/>
  <c r="K83" i="1"/>
  <c r="I83" i="1"/>
  <c r="G83" i="1"/>
  <c r="K82" i="1"/>
  <c r="I82" i="1"/>
  <c r="G82" i="1"/>
  <c r="K81" i="1"/>
  <c r="I81" i="1"/>
  <c r="G81" i="1"/>
  <c r="K80" i="1"/>
  <c r="I80" i="1"/>
  <c r="G80" i="1"/>
  <c r="K79" i="1"/>
  <c r="I79" i="1"/>
  <c r="G79" i="1"/>
  <c r="K78" i="1"/>
  <c r="I78" i="1"/>
  <c r="G78" i="1"/>
  <c r="K77" i="1"/>
  <c r="I77" i="1"/>
  <c r="G77" i="1"/>
  <c r="K76" i="1"/>
  <c r="I76" i="1"/>
  <c r="G76" i="1"/>
  <c r="K75" i="1"/>
  <c r="I75" i="1"/>
  <c r="G75" i="1"/>
  <c r="K74" i="1"/>
  <c r="I74" i="1"/>
  <c r="G74" i="1"/>
  <c r="K73" i="1"/>
  <c r="I73" i="1"/>
  <c r="G73" i="1"/>
  <c r="K72" i="1"/>
  <c r="I72" i="1"/>
  <c r="G72" i="1"/>
  <c r="K71" i="1"/>
  <c r="I71" i="1"/>
  <c r="G71" i="1"/>
  <c r="K70" i="1"/>
  <c r="I70" i="1"/>
  <c r="G70" i="1"/>
  <c r="K69" i="1"/>
  <c r="I69" i="1"/>
  <c r="G69" i="1"/>
  <c r="K68" i="1"/>
  <c r="I68" i="1"/>
  <c r="G68" i="1"/>
  <c r="K67" i="1"/>
  <c r="I67" i="1"/>
  <c r="G67" i="1"/>
  <c r="K66" i="1"/>
  <c r="I66" i="1"/>
  <c r="G66" i="1"/>
  <c r="K65" i="1"/>
  <c r="I65" i="1"/>
  <c r="G65" i="1"/>
  <c r="K64" i="1"/>
  <c r="I64" i="1"/>
  <c r="G64" i="1"/>
  <c r="K63" i="1"/>
  <c r="I63" i="1"/>
  <c r="G63" i="1"/>
  <c r="K62" i="1"/>
  <c r="I62" i="1"/>
  <c r="G62" i="1"/>
  <c r="K61" i="1"/>
  <c r="I61" i="1"/>
  <c r="G61" i="1"/>
  <c r="K60" i="1"/>
  <c r="I60" i="1"/>
  <c r="G60" i="1"/>
  <c r="K59" i="1"/>
  <c r="I59" i="1"/>
  <c r="G59" i="1"/>
  <c r="K58" i="1"/>
  <c r="I58" i="1"/>
  <c r="G58" i="1"/>
  <c r="K57" i="1"/>
  <c r="I57" i="1"/>
  <c r="G57" i="1"/>
  <c r="K56" i="1"/>
  <c r="I56" i="1"/>
  <c r="G56" i="1"/>
  <c r="K55" i="1"/>
  <c r="I55" i="1"/>
  <c r="G55" i="1"/>
  <c r="K54" i="1"/>
  <c r="I54" i="1"/>
  <c r="G54" i="1"/>
  <c r="K53" i="1"/>
  <c r="I53" i="1"/>
  <c r="G53" i="1"/>
  <c r="K52" i="1"/>
  <c r="I52" i="1"/>
  <c r="G52" i="1"/>
  <c r="K51" i="1"/>
  <c r="I51" i="1"/>
  <c r="G51" i="1"/>
  <c r="K50" i="1"/>
  <c r="I50" i="1"/>
  <c r="G50" i="1"/>
  <c r="K49" i="1"/>
  <c r="I49" i="1"/>
  <c r="G49" i="1"/>
  <c r="K48" i="1"/>
  <c r="I48" i="1"/>
  <c r="G48" i="1"/>
  <c r="K47" i="1"/>
  <c r="I47" i="1"/>
  <c r="G47" i="1"/>
  <c r="K46" i="1"/>
  <c r="I46" i="1"/>
  <c r="G46" i="1"/>
  <c r="K45" i="1"/>
  <c r="I45" i="1"/>
  <c r="G45" i="1"/>
  <c r="K44" i="1"/>
  <c r="I44" i="1"/>
  <c r="G44" i="1"/>
  <c r="K43" i="1"/>
  <c r="I43" i="1"/>
  <c r="G43" i="1"/>
  <c r="K42" i="1"/>
  <c r="I42" i="1"/>
  <c r="G42" i="1"/>
  <c r="K41" i="1"/>
  <c r="I41" i="1"/>
  <c r="G41" i="1"/>
  <c r="K40" i="1"/>
  <c r="I40" i="1"/>
  <c r="G40" i="1"/>
  <c r="K39" i="1"/>
  <c r="I39" i="1"/>
  <c r="G39" i="1"/>
  <c r="K38" i="1"/>
  <c r="I38" i="1"/>
  <c r="G38" i="1"/>
  <c r="K37" i="1"/>
  <c r="I37" i="1"/>
  <c r="G37" i="1"/>
  <c r="K36" i="1"/>
  <c r="I36" i="1"/>
  <c r="G36" i="1"/>
  <c r="K35" i="1"/>
  <c r="I35" i="1"/>
  <c r="G35" i="1"/>
  <c r="K34" i="1"/>
  <c r="I34" i="1"/>
  <c r="G34" i="1"/>
  <c r="K33" i="1"/>
  <c r="I33" i="1"/>
  <c r="G33" i="1"/>
  <c r="K32" i="1"/>
  <c r="I32" i="1"/>
  <c r="G32" i="1"/>
  <c r="K31" i="1"/>
  <c r="I31" i="1"/>
  <c r="G31" i="1"/>
  <c r="K30" i="1"/>
  <c r="I30" i="1"/>
  <c r="G30" i="1"/>
  <c r="K29" i="1"/>
  <c r="I29" i="1"/>
  <c r="G29" i="1"/>
  <c r="K28" i="1"/>
  <c r="I28" i="1"/>
  <c r="G28" i="1"/>
  <c r="K27" i="1"/>
  <c r="I27" i="1"/>
  <c r="G27" i="1"/>
  <c r="K26" i="1"/>
  <c r="I26" i="1"/>
  <c r="G26" i="1"/>
  <c r="K25" i="1"/>
  <c r="I25" i="1"/>
  <c r="G25" i="1"/>
  <c r="K24" i="1"/>
  <c r="I24" i="1"/>
  <c r="G24" i="1"/>
  <c r="K23" i="1"/>
  <c r="I23" i="1"/>
  <c r="G23" i="1"/>
  <c r="K22" i="1"/>
  <c r="I22" i="1"/>
  <c r="G22" i="1"/>
  <c r="K21" i="1"/>
  <c r="I21" i="1"/>
  <c r="G21" i="1"/>
  <c r="K20" i="1"/>
  <c r="I20" i="1"/>
  <c r="G20" i="1"/>
  <c r="K19" i="1"/>
  <c r="I19" i="1"/>
  <c r="G19" i="1"/>
  <c r="K18" i="1"/>
  <c r="I18" i="1"/>
  <c r="G18" i="1"/>
  <c r="K17" i="1"/>
  <c r="I17" i="1"/>
  <c r="G17" i="1"/>
  <c r="K16" i="1"/>
  <c r="I16" i="1"/>
  <c r="G16" i="1"/>
  <c r="K15" i="1"/>
  <c r="I15" i="1"/>
  <c r="G15" i="1"/>
  <c r="K14" i="1"/>
  <c r="I14" i="1"/>
  <c r="G14" i="1"/>
  <c r="K13" i="1"/>
  <c r="I13" i="1"/>
  <c r="G13" i="1"/>
  <c r="K12" i="1"/>
  <c r="I12" i="1"/>
  <c r="G12" i="1"/>
  <c r="K11" i="1"/>
  <c r="I11" i="1"/>
  <c r="G11" i="1"/>
  <c r="K10" i="1"/>
  <c r="I10" i="1"/>
  <c r="G10" i="1"/>
  <c r="K9" i="1"/>
  <c r="I9" i="1"/>
  <c r="G9" i="1"/>
  <c r="K8" i="1"/>
  <c r="I8" i="1"/>
  <c r="G8" i="1"/>
  <c r="K7" i="1"/>
  <c r="I7" i="1"/>
  <c r="G7" i="1"/>
  <c r="K6" i="1"/>
  <c r="I6" i="1"/>
  <c r="G6" i="1"/>
  <c r="K5" i="1"/>
  <c r="I5" i="1"/>
  <c r="G5" i="1"/>
  <c r="K4" i="1"/>
  <c r="I4" i="1"/>
  <c r="G4" i="1"/>
  <c r="K3" i="1"/>
  <c r="I3" i="1"/>
  <c r="G3" i="1"/>
</calcChain>
</file>

<file path=xl/sharedStrings.xml><?xml version="1.0" encoding="utf-8"?>
<sst xmlns="http://schemas.openxmlformats.org/spreadsheetml/2006/main" count="5455" uniqueCount="2460">
  <si>
    <t>Table S1: List of known class II bacteriocins, related to Figure 1</t>
  </si>
  <si>
    <t>Index</t>
  </si>
  <si>
    <t>Name of bacteriocins</t>
    <phoneticPr fontId="5" type="noConversion"/>
  </si>
  <si>
    <t>Identical bacteriocins</t>
  </si>
  <si>
    <t>Subclass</t>
    <phoneticPr fontId="5" type="noConversion"/>
  </si>
  <si>
    <t>Full Sequence</t>
  </si>
  <si>
    <t>Length</t>
    <phoneticPr fontId="5" type="noConversion"/>
  </si>
  <si>
    <t>Leader Sequence</t>
  </si>
  <si>
    <t>Length</t>
  </si>
  <si>
    <t>Mature Sequence</t>
  </si>
  <si>
    <t>Leader Type</t>
  </si>
  <si>
    <t>-1 and -2</t>
  </si>
  <si>
    <t>Producer species</t>
    <phoneticPr fontId="5" type="noConversion"/>
  </si>
  <si>
    <t>Strain</t>
  </si>
  <si>
    <t>Gram</t>
  </si>
  <si>
    <t>Complete precursor</t>
  </si>
  <si>
    <t>Complete core peptide</t>
  </si>
  <si>
    <t>GenBank Accession</t>
  </si>
  <si>
    <t>Reference (DOI)</t>
  </si>
  <si>
    <t>Reference (PMID)</t>
  </si>
  <si>
    <t>PDB accession</t>
  </si>
  <si>
    <t>UniProt accession</t>
  </si>
  <si>
    <t>NCBI accession</t>
  </si>
  <si>
    <t>Title of reference paper</t>
  </si>
  <si>
    <t>Include_in_model_construction</t>
  </si>
  <si>
    <t>Comments</t>
  </si>
  <si>
    <t>Bac_001</t>
  </si>
  <si>
    <t>carnocin CP52</t>
  </si>
  <si>
    <t>Carnobacteriocin B2</t>
  </si>
  <si>
    <t>IIa</t>
    <phoneticPr fontId="5" type="noConversion"/>
  </si>
  <si>
    <r>
      <rPr>
        <sz val="10"/>
        <color theme="0" tint="-0.249977111117893"/>
        <rFont val="Times New Roman"/>
        <family val="1"/>
      </rPr>
      <t>MNSVKELNVKEMKQLHGG</t>
    </r>
    <r>
      <rPr>
        <sz val="10"/>
        <color theme="1"/>
        <rFont val="Times New Roman"/>
        <family val="1"/>
      </rPr>
      <t>VNYGNGVSCSKTKCSVNWGQAFQERYTAGINSFVSGVASGAGSIGRRP</t>
    </r>
  </si>
  <si>
    <t>MNSVKELNVKEMKQLHGG</t>
  </si>
  <si>
    <t>VNYGNGVSCSKTKCSVNWGQAFQERYTAGINSFVSGVASGAGSIGRRP</t>
  </si>
  <si>
    <t>Double-glycine</t>
  </si>
  <si>
    <t>GG</t>
  </si>
  <si>
    <t xml:space="preserve">Carnobacterium piscicola </t>
  </si>
  <si>
    <t>CP5</t>
    <phoneticPr fontId="5" type="noConversion"/>
  </si>
  <si>
    <t>Gram-positive</t>
  </si>
  <si>
    <t>YES</t>
  </si>
  <si>
    <t>U76763</t>
  </si>
  <si>
    <t>10.1007/s002849900262</t>
  </si>
  <si>
    <t>Characteristics and genetic determinants of bacteriocin activities produced by Carnobacterium piscicola CP5 isolated from cheese</t>
  </si>
  <si>
    <t>Yes</t>
  </si>
  <si>
    <t>Bac_002</t>
  </si>
  <si>
    <t>Acidocin A</t>
  </si>
  <si>
    <r>
      <rPr>
        <sz val="10"/>
        <color theme="0" tint="-0.34998626667073579"/>
        <rFont val="Times New Roman"/>
        <family val="1"/>
      </rPr>
      <t>MISMISSHQKTLTDKELALISGG</t>
    </r>
    <r>
      <rPr>
        <sz val="10"/>
        <color theme="1"/>
        <rFont val="Times New Roman"/>
        <family val="1"/>
      </rPr>
      <t>KTYYGTNGVHCTKKSLWGKVRLKNVIPGTLCRKQSLPIKQDLKILLGWATGAFGKTFH</t>
    </r>
  </si>
  <si>
    <t>MISMISSHQKTLTDKELALISGG</t>
  </si>
  <si>
    <t>KTYYGTNGVHCTKKSLWGKVRLKNVIPGTLCRKQSLPIKQDLKILLGWATGAFGKTFH</t>
  </si>
  <si>
    <t>Lactobacillus acidophilus</t>
  </si>
  <si>
    <t>TK9201</t>
    <phoneticPr fontId="5" type="noConversion"/>
  </si>
  <si>
    <t>D37881</t>
  </si>
  <si>
    <t>10.1128/aem.61.3.1061-1067.1995</t>
  </si>
  <si>
    <t>Q48496</t>
  </si>
  <si>
    <t>Isolation and characterization of acidocin A and cloning of the bacteriocin gene from Lactobacillus acidophilus</t>
  </si>
  <si>
    <t>Bac_003</t>
  </si>
  <si>
    <t>avicin A</t>
  </si>
  <si>
    <t>Unnamed</t>
  </si>
  <si>
    <r>
      <rPr>
        <sz val="10"/>
        <color theme="0" tint="-0.34998626667073579"/>
        <rFont val="Times New Roman"/>
        <family val="1"/>
      </rPr>
      <t>MTRSKKLNLREMKNVVGG</t>
    </r>
    <r>
      <rPr>
        <sz val="10"/>
        <color theme="1"/>
        <rFont val="Times New Roman"/>
        <family val="1"/>
      </rPr>
      <t>TYYGNGVSCNKKGCSVDWGKAISIIGNNSAANLATGGAAGWKS</t>
    </r>
  </si>
  <si>
    <t>MTRSKKLNLREMKNVVGG</t>
  </si>
  <si>
    <t>TYYGNGVSCNKKGCSVDWGKAISIIGNNSAANLATGGAAGWKS</t>
  </si>
  <si>
    <t>Enterococcus avium</t>
  </si>
  <si>
    <t>XA83</t>
  </si>
  <si>
    <t>FJ851402</t>
  </si>
  <si>
    <t>10.1128/AEM.01597-09</t>
  </si>
  <si>
    <t>Molecular and genetic characterization of a novel bacteriocin locus in Enterococcus avium isolates from infants</t>
  </si>
  <si>
    <t>Bac_004</t>
  </si>
  <si>
    <t>hiracin JM79</t>
  </si>
  <si>
    <t>Bacteriocin 43, Bacteriocin T8</t>
  </si>
  <si>
    <r>
      <rPr>
        <sz val="10"/>
        <color theme="0" tint="-0.34998626667073579"/>
        <rFont val="Times New Roman"/>
        <family val="1"/>
      </rPr>
      <t>MKKKVLKHCVILGILGTCLAGIGTGIKVDA</t>
    </r>
    <r>
      <rPr>
        <sz val="10"/>
        <color theme="1"/>
        <rFont val="Times New Roman"/>
        <family val="1"/>
      </rPr>
      <t>ATYYGNGLYCNKEKCWVDWNQAKGEIGKIIVNGWVNHGPWAPRR</t>
    </r>
  </si>
  <si>
    <t>MKKKVLKHCVILGILGTCLAGIGTGIKVDA</t>
  </si>
  <si>
    <t>ATYYGNGLYCNKEKCWVDWNQAKGEIGKIIVNGWVNHGPWAPRR</t>
  </si>
  <si>
    <t>Sec-dependent</t>
  </si>
  <si>
    <t>Enterococcus hirae</t>
  </si>
  <si>
    <t>DCH5</t>
    <phoneticPr fontId="5" type="noConversion"/>
  </si>
  <si>
    <t>DQ664500</t>
  </si>
  <si>
    <t>10.1111/j.1574-6968.2007.00673.x</t>
  </si>
  <si>
    <t>Q0Z8B6</t>
  </si>
  <si>
    <t>Amino acid and nucleotide sequence, adjacent genes, and heterologous expression of hiracin JM79, a sec-dependent bacteriocin produced by Enterococcus hirae DCH5, isolated from Mallard ducks (Anas platyrhynchos)</t>
  </si>
  <si>
    <t>Bac_005</t>
  </si>
  <si>
    <t>Enterocin TW21</t>
  </si>
  <si>
    <r>
      <rPr>
        <sz val="10"/>
        <color theme="6"/>
        <rFont val="Times New Roman"/>
        <family val="1"/>
      </rPr>
      <t>MKKKFVSIFMILGIVLLSVSTLGITVDA</t>
    </r>
    <r>
      <rPr>
        <sz val="10"/>
        <color theme="1"/>
        <rFont val="Times New Roman"/>
        <family val="1"/>
      </rPr>
      <t>ATYYGNGVYCNTQKCWVDWSRARSEIVDRGVKAYVNGFTKVLGGVGGR</t>
    </r>
  </si>
  <si>
    <t>MKKKFVSIFMILGIVLLSVSTLGITVDA</t>
  </si>
  <si>
    <t>ATYYGNGVYCNTQKCWVDWSRARSEIVDRGVKAYVNGFTKVLGGVGGR</t>
  </si>
  <si>
    <t>Enterococcus faecium</t>
  </si>
  <si>
    <t>D081821</t>
  </si>
  <si>
    <t>JX880073</t>
  </si>
  <si>
    <t>10.1111/jam.12265</t>
  </si>
  <si>
    <t>Enterocin TW21, a novel bacteriocin from dochi-isolated Enterococcus faecium D081821</t>
  </si>
  <si>
    <t>Bac_006</t>
  </si>
  <si>
    <t>durancin GL</t>
  </si>
  <si>
    <r>
      <rPr>
        <sz val="10"/>
        <color theme="6"/>
        <rFont val="Times New Roman"/>
        <family val="1"/>
      </rPr>
      <t>MKKKFVSIFMILGIVLLSVSTLGITVDA</t>
    </r>
    <r>
      <rPr>
        <sz val="10"/>
        <color theme="1"/>
        <rFont val="Times New Roman"/>
        <family val="1"/>
      </rPr>
      <t>ATYYGNGVYCNKQECWVDWNKASKEIGKIIVNGWVQHGPWAPR</t>
    </r>
  </si>
  <si>
    <t>ATYYGNGVYCNKQECWVDWNKASKEIGKIIVNGWVQHGPWAPR</t>
  </si>
  <si>
    <t xml:space="preserve">Enterococcus durans </t>
  </si>
  <si>
    <t>41D</t>
  </si>
  <si>
    <t>HQ696461</t>
  </si>
  <si>
    <t>10.1099/mic.0.055624-0</t>
  </si>
  <si>
    <t>Molecular analysis of the bacteriocin-encoding plasmid pDGL1 from Enterococcus durans and genetic characterization of the durancin GL locus</t>
  </si>
  <si>
    <t>Bac_007</t>
  </si>
  <si>
    <t>Faerocin MK</t>
  </si>
  <si>
    <r>
      <rPr>
        <sz val="10"/>
        <color theme="6"/>
        <rFont val="Times New Roman"/>
        <family val="1"/>
      </rPr>
      <t>MKKKFVSIFMILGIVLLSVSTLGITVDA</t>
    </r>
    <r>
      <rPr>
        <sz val="10"/>
        <color theme="1"/>
        <rFont val="Times New Roman"/>
        <family val="1"/>
      </rPr>
      <t>ATYYGNGVYCNKQKCWVDWNKASKEIGKIIVNGWVQHGPWAPR</t>
    </r>
  </si>
  <si>
    <t>ATYYGNGVYCNKQKCWVDWNKASKEIGKIIVNGWVQHGPWAPR</t>
  </si>
  <si>
    <t>M3K31</t>
  </si>
  <si>
    <t>-</t>
  </si>
  <si>
    <t>10.1007/s12602-017-9374-7</t>
  </si>
  <si>
    <t>Identification and Heterologous Expression of the sec-Dependent Bacteriocin Faerocin MK from Enterococcus faecium M3K31</t>
  </si>
  <si>
    <t>Bac_008</t>
  </si>
  <si>
    <t>Ubericin A</t>
  </si>
  <si>
    <r>
      <rPr>
        <sz val="10"/>
        <color theme="6"/>
        <rFont val="Times New Roman"/>
        <family val="1"/>
      </rPr>
      <t>MNTIEKFENIKLFSLKKIIGG</t>
    </r>
    <r>
      <rPr>
        <sz val="10"/>
        <color theme="1"/>
        <rFont val="Times New Roman"/>
        <family val="1"/>
      </rPr>
      <t>KTVNYGNGLYCNQKKCWVNWSETATTIVNNSIMNGLTGGNAGWHSGGRA</t>
    </r>
  </si>
  <si>
    <t>MNTIEKFENIKLFSLKKIIGG</t>
  </si>
  <si>
    <t>KTVNYGNGLYCNQKKCWVNWSETATTIVNNSIMNGLTGGNAGWHSGGRA</t>
  </si>
  <si>
    <t>Streptococcus uberis</t>
  </si>
  <si>
    <t>E</t>
  </si>
  <si>
    <t>EF203953</t>
  </si>
  <si>
    <t>10.1128/AEM.01818-07</t>
  </si>
  <si>
    <t>Ubericin A, a class IIa bacteriocin produced by Streptococcus uberis</t>
  </si>
  <si>
    <t>Bac_009</t>
  </si>
  <si>
    <t>Bacteriocin 31</t>
  </si>
  <si>
    <r>
      <rPr>
        <sz val="10"/>
        <color theme="0" tint="-0.34998626667073579"/>
        <rFont val="Times New Roman"/>
        <family val="1"/>
      </rPr>
      <t>MKKKLVICGIIGIGFTALGTNVEAAT</t>
    </r>
    <r>
      <rPr>
        <sz val="10"/>
        <color theme="1"/>
        <rFont val="Times New Roman"/>
        <family val="1"/>
      </rPr>
      <t>ATYYGNGLYCNKQKCWVDWNKASREIGKIIVNGWVQHGPWAPR</t>
    </r>
  </si>
  <si>
    <t>MKKKLVICGIIGIGFTALGTNVEAAT</t>
  </si>
  <si>
    <t>ATYYGNGLYCNKQKCWVDWNKASREIGKIIVNGWVQHGPWAPR</t>
  </si>
  <si>
    <t>Enterococcus faecalis</t>
  </si>
  <si>
    <t>YI717</t>
  </si>
  <si>
    <t>D78257</t>
  </si>
  <si>
    <t>10.1128/jb.178.12.3585-3593.1996</t>
  </si>
  <si>
    <t>Cloning and genetic organization of the bacteriocin 31 determinant encoded on the Enterococcus faecalis pheromone-responsive conjugative plasmid pYI17</t>
  </si>
  <si>
    <t>Bac_010</t>
  </si>
  <si>
    <t>Bacteriocin 43 (bacteriocin RC714)</t>
  </si>
  <si>
    <t>hiracin JM79, Bacteriocin T8</t>
  </si>
  <si>
    <r>
      <rPr>
        <sz val="10"/>
        <color theme="6"/>
        <rFont val="Times New Roman"/>
        <family val="1"/>
      </rPr>
      <t>MKKKVLKHCVILGILGTCLAGIGTGIKVDA</t>
    </r>
    <r>
      <rPr>
        <sz val="10"/>
        <color theme="1"/>
        <rFont val="Times New Roman"/>
        <family val="1"/>
      </rPr>
      <t>ATYYGNGLYCNKEKCWVDWNQAKGEIGKIIVNGWVNHGPWAPRR</t>
    </r>
  </si>
  <si>
    <t>VRE82</t>
  </si>
  <si>
    <t>AB178871</t>
  </si>
  <si>
    <t>10.1128/AEM.00934-06</t>
  </si>
  <si>
    <t>Genetic analysis of bacteriocin 43 of vancomycin-resistant Enterococcus faecium</t>
  </si>
  <si>
    <t>Bac_011</t>
  </si>
  <si>
    <t>Carnobacteriocin BM1</t>
  </si>
  <si>
    <t>Piscicocin V1b</t>
  </si>
  <si>
    <r>
      <rPr>
        <sz val="10"/>
        <color theme="0" tint="-0.34998626667073579"/>
        <rFont val="Times New Roman"/>
        <family val="1"/>
      </rPr>
      <t>MKSVKELNKKEMQQINGG</t>
    </r>
    <r>
      <rPr>
        <sz val="10"/>
        <color theme="1"/>
        <rFont val="Times New Roman"/>
        <family val="1"/>
      </rPr>
      <t>AISYGNGVYCNKEKCWVNKAENKQAITGIVIGGWASSLAGMGH</t>
    </r>
  </si>
  <si>
    <t>MKSVKELNKKEMQQINGG</t>
  </si>
  <si>
    <t>AISYGNGVYCNKEKCWVNKAENKQAITGIVIGGWASSLAGMGH</t>
  </si>
  <si>
    <t>Carnobacterium piscicola</t>
  </si>
  <si>
    <t>LV17B</t>
  </si>
  <si>
    <t>L29058</t>
  </si>
  <si>
    <t>P38579 </t>
  </si>
  <si>
    <t>Chemical and genetic characterization of bacteriocins produced by Carnobacterium piscicola LV17B</t>
  </si>
  <si>
    <t>Bac_012</t>
  </si>
  <si>
    <r>
      <rPr>
        <sz val="10"/>
        <color theme="0" tint="-0.34998626667073579"/>
        <rFont val="Times New Roman"/>
        <family val="1"/>
      </rPr>
      <t>MNSVKELNVKEMKQLHGG</t>
    </r>
    <r>
      <rPr>
        <sz val="10"/>
        <color theme="1"/>
        <rFont val="Times New Roman"/>
        <family val="1"/>
      </rPr>
      <t>VNYGNGVSCSKTKCSVNWGQAFQERYTAGINSFVSGVASGAGSIGRRP</t>
    </r>
  </si>
  <si>
    <t>LV17</t>
  </si>
  <si>
    <t>L29059</t>
  </si>
  <si>
    <t>1RY3</t>
  </si>
  <si>
    <t>P38580 </t>
  </si>
  <si>
    <t>Bac_013</t>
  </si>
  <si>
    <t>Leucocin C-607</t>
  </si>
  <si>
    <r>
      <rPr>
        <sz val="10"/>
        <color theme="6"/>
        <rFont val="Times New Roman"/>
        <family val="1"/>
      </rPr>
      <t>MMKNMKSAEIYHQLDNNALEQVIGG</t>
    </r>
    <r>
      <rPr>
        <sz val="10"/>
        <color theme="1"/>
        <rFont val="Times New Roman"/>
        <family val="1"/>
      </rPr>
      <t>KNYGNGVHCTKKGCSVDWGYAWTNIVNNSVMNGLTGGNAGWHN</t>
    </r>
  </si>
  <si>
    <t>MMKNMKSAEIYHQLDNNALEQVIGG</t>
  </si>
  <si>
    <t>KNYGNGVHCTKKGCSVDWGYAWTNIVNNSVMNGLTGGNAGWHN</t>
  </si>
  <si>
    <t>Leuconostoc pseudomesenteroides</t>
  </si>
  <si>
    <t>10.1007/s12602-017-9359-6</t>
  </si>
  <si>
    <t>Leucocin C-607, a Novel Bacteriocin from the Multiple-Bacteriocin-Producing Leuconostoc pseudomesenteroides 607 Isolated from Persimmon</t>
  </si>
  <si>
    <t>Bac_014</t>
  </si>
  <si>
    <t>Bacteriocin T8</t>
  </si>
  <si>
    <t>hiracin JM79, Bacteriocin 43</t>
  </si>
  <si>
    <t>T8</t>
  </si>
  <si>
    <t>DQ402539</t>
  </si>
  <si>
    <t>10.1128/AEM.00436-06</t>
  </si>
  <si>
    <t>Bacteriocin T8, a novel class IIa sec-dependent bacteriocin produced by Enterococcus faecium T8, isolated from vaginal secretions of children infected with human immunodeficiency virus</t>
  </si>
  <si>
    <t>Bac_015</t>
  </si>
  <si>
    <t>Coagulin</t>
  </si>
  <si>
    <r>
      <rPr>
        <sz val="10"/>
        <color theme="0" tint="-0.34998626667073579"/>
        <rFont val="Times New Roman"/>
        <family val="1"/>
      </rPr>
      <t>MKSVKELNKKEMQQIIGG</t>
    </r>
    <r>
      <rPr>
        <sz val="10"/>
        <color theme="1"/>
        <rFont val="Times New Roman"/>
        <family val="1"/>
      </rPr>
      <t>AISYGNGVYCNKEKCWVNKAENKQAITGIVIGGWASSLAGMGH</t>
    </r>
  </si>
  <si>
    <t>MKSVKELNKKEMQQIIGG</t>
  </si>
  <si>
    <t>Bacillus coagulans</t>
  </si>
  <si>
    <t>I(4)</t>
  </si>
  <si>
    <t>10.1128/AEM.66.12.5213-5220.2000</t>
  </si>
  <si>
    <t>Biochemical and genetic characterization of coagulin, a new antilisterial bacteriocin in the pediocin family of bacteriocins, produced by Bacillus coagulans I(4)</t>
  </si>
  <si>
    <t>Bac_016</t>
  </si>
  <si>
    <t>Curvacin A</t>
  </si>
  <si>
    <t>Sakacin A</t>
  </si>
  <si>
    <r>
      <rPr>
        <sz val="10"/>
        <color theme="0" tint="-0.34998626667073579"/>
        <rFont val="Times New Roman"/>
        <family val="1"/>
      </rPr>
      <t>MNNVKELSMTELQTITGG</t>
    </r>
    <r>
      <rPr>
        <sz val="10"/>
        <color theme="1"/>
        <rFont val="Times New Roman"/>
        <family val="1"/>
      </rPr>
      <t>ARSYGNGVYCNNKKCWVNRGEATQSIIGGMISGWASGLAGM</t>
    </r>
  </si>
  <si>
    <t>MNNVKELSMTELQTITGG</t>
  </si>
  <si>
    <t>ARSYGNGVYCNNKKCWVNRGEATQSIIGGMISGWASGLAGM</t>
  </si>
  <si>
    <t>Lactobacillus curvatus</t>
  </si>
  <si>
    <t>LTH1174</t>
  </si>
  <si>
    <t>10.1007/BF00292077</t>
  </si>
  <si>
    <t xml:space="preserve">P0A311 </t>
  </si>
  <si>
    <t>Cloning and sequencing of curA encoding curvacin A, the bacteriocin produced by Lactobacillus curvatus LTH1174</t>
  </si>
  <si>
    <t>Bac_017</t>
  </si>
  <si>
    <t>Divercin V41</t>
  </si>
  <si>
    <r>
      <rPr>
        <sz val="10"/>
        <color theme="0" tint="-0.34998626667073579"/>
        <rFont val="Times New Roman"/>
        <family val="1"/>
      </rPr>
      <t>MKNLKEGSYTAVNTDELKSINGG</t>
    </r>
    <r>
      <rPr>
        <sz val="10"/>
        <color theme="1"/>
        <rFont val="Times New Roman"/>
        <family val="1"/>
      </rPr>
      <t>TKYYGNGVYCNSKKCWVDWGQASGCIGQTVVGGWLGGAIPGKC</t>
    </r>
  </si>
  <si>
    <t>MKNLKEGSYTAVNTDELKSINGG</t>
  </si>
  <si>
    <t>TKYYGNGVYCNSKKCWVDWGQASGCIGQTVVGGWLGGAIPGKC</t>
  </si>
  <si>
    <t>Carnobacterium divergens</t>
  </si>
  <si>
    <t>V41</t>
  </si>
  <si>
    <t>AJ224003</t>
  </si>
  <si>
    <t>10.1099/00221287-144-10-2837</t>
  </si>
  <si>
    <t>Q9Z4J1</t>
  </si>
  <si>
    <t>Divercin V41, a new bacteriocin with two disulphide bonds produced by Carnobacterium divergens V41: primary structure and genomic organization</t>
  </si>
  <si>
    <t>Bac_018</t>
  </si>
  <si>
    <t>Enterocin A</t>
  </si>
  <si>
    <t>Enterocin NKR-5-3C</t>
  </si>
  <si>
    <r>
      <rPr>
        <sz val="10"/>
        <color theme="0" tint="-0.34998626667073579"/>
        <rFont val="Times New Roman"/>
        <family val="1"/>
      </rPr>
      <t>MKHLKILSIKETQLIYGG</t>
    </r>
    <r>
      <rPr>
        <sz val="10"/>
        <color theme="1"/>
        <rFont val="Times New Roman"/>
        <family val="1"/>
      </rPr>
      <t>TTHSGKYYGNGVYCTKNKCTVDWAKATTCIAGMSIGGFLGGAIPGKC</t>
    </r>
  </si>
  <si>
    <t>MKHLKILSIKETQLIYGG</t>
  </si>
  <si>
    <t>TTHSGKYYGNGVYCTKNKCTVDWAKATTCIAGMSIGGFLGGAIPGKC</t>
  </si>
  <si>
    <t>CTCA92/T136</t>
  </si>
  <si>
    <t>10.1128/aem.62.5.1676-1682.1996</t>
  </si>
  <si>
    <t>Biochemical and genetic characterization of enterocin A from Enterococcus faecium, a new antilisterial bacteriocin in the pediocin family of bacteriocins</t>
  </si>
  <si>
    <t>Bac_019</t>
  </si>
  <si>
    <t>NKR-5-3</t>
  </si>
  <si>
    <t>AB695329</t>
  </si>
  <si>
    <t>10.1271/bbb.120089</t>
  </si>
  <si>
    <t>Identification of enterocin NKR-5-3C, a novel class IIa bacteriocin produced by a multiple bacteriocin producer, Enterococcus faecium NKR-5-3</t>
  </si>
  <si>
    <t>Bac_020</t>
  </si>
  <si>
    <t>Enterocin CRL35</t>
  </si>
  <si>
    <r>
      <rPr>
        <sz val="10"/>
        <color theme="0" tint="-0.34998626667073579"/>
        <rFont val="Times New Roman"/>
        <family val="1"/>
      </rPr>
      <t>MKKLTSKEMAQVVGG</t>
    </r>
    <r>
      <rPr>
        <sz val="10"/>
        <color theme="1"/>
        <rFont val="Times New Roman"/>
        <family val="1"/>
      </rPr>
      <t>KYYGNGVSCNKKGCSVDWGKAIGIIGNNSAANLATGGAAGWKS</t>
    </r>
  </si>
  <si>
    <t>MKKLTSKEMAQVVGG</t>
  </si>
  <si>
    <t>KYYGNGVSCNKKGCSVDWGKAIGIIGNNSAANLATGGAAGWKS</t>
  </si>
  <si>
    <t>Enterococcus mundtii</t>
  </si>
  <si>
    <t>CRL35</t>
  </si>
  <si>
    <t>AY398693</t>
  </si>
  <si>
    <t>10.1128/AAC.48.7.2778-2781.2004</t>
  </si>
  <si>
    <t xml:space="preserve">Q6TGQ7 </t>
  </si>
  <si>
    <t>Enhancement of the enterocin CRL35 activity by a synthetic peptide derived from the NH2-terminal sequence</t>
  </si>
  <si>
    <t>Bac_021</t>
  </si>
  <si>
    <t>Mundticin L</t>
  </si>
  <si>
    <r>
      <rPr>
        <sz val="10"/>
        <color theme="6"/>
        <rFont val="Times New Roman"/>
        <family val="1"/>
      </rPr>
      <t>MKKLTSKEMAQVVGG</t>
    </r>
    <r>
      <rPr>
        <sz val="10"/>
        <color theme="1"/>
        <rFont val="Times New Roman"/>
        <family val="1"/>
      </rPr>
      <t>KYYGNGLSCNKKGCSVDWGKAIGIIGNNSAANLATGGAAGWKS</t>
    </r>
  </si>
  <si>
    <t>KYYGNGLSCNKKGCSVDWGKAIGIIGNNSAANLATGGAAGWKS</t>
  </si>
  <si>
    <t>CUGF08</t>
  </si>
  <si>
    <t>FJ899708</t>
  </si>
  <si>
    <t>10.1128/AEM.00752-09</t>
  </si>
  <si>
    <t>Characterization of mundticin L, a class IIa anti-Listeria bacteriocin from Enterococcus mundtii CUGF08</t>
  </si>
  <si>
    <t>Bac_022</t>
  </si>
  <si>
    <t>Enterocin HF</t>
    <phoneticPr fontId="5" type="noConversion"/>
  </si>
  <si>
    <r>
      <rPr>
        <sz val="10"/>
        <color theme="0" tint="-0.34998626667073579"/>
        <rFont val="Times New Roman"/>
        <family val="1"/>
      </rPr>
      <t>MEKLTVKEMSQVVGG</t>
    </r>
    <r>
      <rPr>
        <sz val="10"/>
        <color theme="1"/>
        <rFont val="Times New Roman"/>
        <family val="1"/>
      </rPr>
      <t>KYYGNGVSCNKKGCSVDWGKAIGIIGNNAAANLTTGGKAGWKG</t>
    </r>
  </si>
  <si>
    <t>MEKLTVKEMSQVVGG</t>
  </si>
  <si>
    <t>KYYGNGVSCNKKGCSVDWGKAIGIIGNNAAANLTTGGKAGWKG</t>
  </si>
  <si>
    <t xml:space="preserve">Enterococcus faecium </t>
    <phoneticPr fontId="5" type="noConversion"/>
  </si>
  <si>
    <t>10.1021/acs.jafc.5b03882</t>
  </si>
  <si>
    <t>Solution Structure of Enterocin HF, an Antilisterial Bacteriocin Produced by Enterococcus faecium M3K31</t>
  </si>
  <si>
    <t>Bac_023</t>
  </si>
  <si>
    <t>Enterocin P</t>
  </si>
  <si>
    <r>
      <rPr>
        <sz val="10"/>
        <color theme="0" tint="-0.34998626667073579"/>
        <rFont val="Times New Roman"/>
        <family val="1"/>
      </rPr>
      <t>MRKKLFSLALIGIFGLVVTNFGTKVDA</t>
    </r>
    <r>
      <rPr>
        <sz val="10"/>
        <color theme="1"/>
        <rFont val="Times New Roman"/>
        <family val="1"/>
      </rPr>
      <t>ATRSYGNGVYCNNSKCWVNWGEAKENIAGIVISGWASGLAGMGH</t>
    </r>
  </si>
  <si>
    <t>MRKKLFSLALIGIFGLVVTNFGTKVDA</t>
  </si>
  <si>
    <t>ATRSYGNGVYCNNSKCWVNWGEAKENIAGIVISGWASGLAGMGH</t>
  </si>
  <si>
    <t>P13</t>
  </si>
  <si>
    <t>AF005726</t>
  </si>
  <si>
    <t>10.1128/aem.63.11.4321-4330.1997</t>
  </si>
  <si>
    <t>Biochemical and genetic characterization of enterocin P, a novel sec-dependent bacteriocin from Enterococcus faecium P13 with a broad antimicrobial spectrum</t>
  </si>
  <si>
    <t>Bac_024</t>
  </si>
  <si>
    <t>Enterocin SE-K4</t>
  </si>
  <si>
    <r>
      <rPr>
        <sz val="10"/>
        <color theme="0" tint="-0.34998626667073579"/>
        <rFont val="Times New Roman"/>
        <family val="1"/>
      </rPr>
      <t>MKKKLVKGLVICGMIGIGFTALGTNVEA</t>
    </r>
    <r>
      <rPr>
        <sz val="10"/>
        <color theme="1"/>
        <rFont val="Times New Roman"/>
        <family val="1"/>
      </rPr>
      <t>ATYYGNGVYCNKQKCWVDWSRARSEIIDRGVKAYVNGFTKVLG</t>
    </r>
  </si>
  <si>
    <t>MKKKLVKGLVICGMIGIGFTALGTNVEA</t>
  </si>
  <si>
    <t>ATYYGNGVYCNKQKCWVDWSRARSEIIDRGVKAYVNGFTKVLG</t>
  </si>
  <si>
    <t>K-4</t>
  </si>
  <si>
    <t>10.1271/bbb.65.247</t>
  </si>
  <si>
    <t>Isolation and characterization of enterocin SE-K4 produced by thermophilic enterococci, Enterococcus faecalis K-4</t>
  </si>
  <si>
    <t>Bac_025</t>
  </si>
  <si>
    <t>Leucocin A</t>
  </si>
  <si>
    <r>
      <rPr>
        <sz val="10"/>
        <color theme="0" tint="-0.34998626667073579"/>
        <rFont val="Times New Roman"/>
        <family val="1"/>
      </rPr>
      <t>MMNMKPTESYEQLDNSALEQVVGG</t>
    </r>
    <r>
      <rPr>
        <sz val="10"/>
        <color theme="1"/>
        <rFont val="Times New Roman"/>
        <family val="1"/>
      </rPr>
      <t>KYYGNGVHCTKSGCSVNWGEAFSAGVHRLANGGNGFW</t>
    </r>
  </si>
  <si>
    <t>MMNMKPTESYEQLDNSALEQVVGG</t>
  </si>
  <si>
    <t>KYYGNGVHCTKSGCSVNWGEAFSAGVHRLANGGNGFW</t>
  </si>
  <si>
    <t>Leuconostoc gelidum</t>
  </si>
  <si>
    <t>UAL 187</t>
  </si>
  <si>
    <t>M64371</t>
  </si>
  <si>
    <t>10.1128/jb.173.23.7491-7500.1991</t>
  </si>
  <si>
    <t xml:space="preserve">P34034 </t>
  </si>
  <si>
    <t>Characterization of leucocin A-UAL 187 and cloning of the bacteriocin gene from Leuconostoc gelidum</t>
  </si>
  <si>
    <t>Bac_026</t>
  </si>
  <si>
    <t>leucocin B-Ta11a</t>
    <phoneticPr fontId="5" type="noConversion"/>
  </si>
  <si>
    <r>
      <rPr>
        <sz val="10"/>
        <color theme="0" tint="-0.34998626667073579"/>
        <rFont val="Times New Roman"/>
        <family val="1"/>
      </rPr>
      <t>MNNMKSADNYQQLDNNALEQVVGG</t>
    </r>
    <r>
      <rPr>
        <sz val="10"/>
        <color theme="1"/>
        <rFont val="Times New Roman"/>
        <family val="1"/>
      </rPr>
      <t>KYYGNGVHCTKSGCSVNWGEAFSAGVHRLANGGNGFW</t>
    </r>
  </si>
  <si>
    <t>MNNMKSADNYQQLDNNALEQVVGG</t>
  </si>
  <si>
    <t>Leuconostoc carnosum</t>
  </si>
  <si>
    <t>Ta11a</t>
    <phoneticPr fontId="5" type="noConversion"/>
  </si>
  <si>
    <t>10.1007/BF01570155</t>
  </si>
  <si>
    <t>Characterization of leucocin B-Ta11a: a bacteriocin from Leuconostoc carnosum Ta11a isolated from meat</t>
  </si>
  <si>
    <t>Bac_027</t>
  </si>
  <si>
    <t>Listeriocin 743A</t>
  </si>
  <si>
    <r>
      <rPr>
        <sz val="10"/>
        <color theme="0" tint="-0.34998626667073579"/>
        <rFont val="Times New Roman"/>
        <family val="1"/>
      </rPr>
      <t>MKKAALKFIIVIAILGFSFSFFSIQSEA</t>
    </r>
    <r>
      <rPr>
        <sz val="10"/>
        <color theme="1"/>
        <rFont val="Times New Roman"/>
        <family val="1"/>
      </rPr>
      <t>KSYGNGVHCNKKKCWVDWGSAISTIGNNSAANWATGGAAGWKS</t>
    </r>
  </si>
  <si>
    <t>MKKAALKFIIVIAILGFSFSFFSIQSEA</t>
  </si>
  <si>
    <t>KSYGNGVHCNKKKCWVDWGSAISTIGNNSAANWATGGAAGWKS</t>
  </si>
  <si>
    <t>Listeria innocua</t>
  </si>
  <si>
    <t>AF330821</t>
  </si>
  <si>
    <t>10.1128/AEM.67.9.4041–4047.2001</t>
  </si>
  <si>
    <t>Identification of a new plasmid-encoded sec-dependent bacteriocin produced by Listeria innocua 743</t>
  </si>
  <si>
    <t>Bac_028</t>
  </si>
  <si>
    <t>Mesentericin Y105</t>
  </si>
  <si>
    <r>
      <rPr>
        <sz val="10"/>
        <color theme="0" tint="-0.34998626667073579"/>
        <rFont val="Times New Roman"/>
        <family val="1"/>
      </rPr>
      <t>MTNMKSVEAYQQLDNQNLKKVVGG</t>
    </r>
    <r>
      <rPr>
        <sz val="10"/>
        <color theme="1"/>
        <rFont val="Times New Roman"/>
        <family val="1"/>
      </rPr>
      <t>KYYGNGVHCTKSGCSVNWGEAASAGIHRLANGGNGFW</t>
    </r>
  </si>
  <si>
    <t>MTNMKSVEAYQQLDNQNLKKVVGG</t>
  </si>
  <si>
    <t>KYYGNGVHCTKSGCSVNWGEAASAGIHRLANGGNGFW</t>
  </si>
  <si>
    <t>Leuconostoc mesenteroides</t>
  </si>
  <si>
    <t>Y105</t>
  </si>
  <si>
    <t>10.1099/00221287-138-12-2725</t>
  </si>
  <si>
    <t>1CW6</t>
  </si>
  <si>
    <t>P38577</t>
  </si>
  <si>
    <t>Characterization and purification of mesentericin Y105, an anti-Listeria bacteriocin from Leuconostoc mesenteroides</t>
  </si>
  <si>
    <t>Bac_029</t>
  </si>
  <si>
    <t>Mundticin KS</t>
  </si>
  <si>
    <r>
      <rPr>
        <sz val="10"/>
        <color theme="0" tint="-0.34998626667073579"/>
        <rFont val="Times New Roman"/>
        <family val="1"/>
      </rPr>
      <t>MKKLTAKEMSQVVGG</t>
    </r>
    <r>
      <rPr>
        <sz val="10"/>
        <color theme="1"/>
        <rFont val="Times New Roman"/>
        <family val="1"/>
      </rPr>
      <t>KYYGNGVSCNKKGCSVDWGKAIGIIGNNSAANLATGGAAGWKS</t>
    </r>
  </si>
  <si>
    <t>MKKLTAKEMSQVVGG</t>
  </si>
  <si>
    <t>NFRI 7393</t>
  </si>
  <si>
    <t>AB066267</t>
  </si>
  <si>
    <t>10.1128/AEM.68.8.3830-3840.2002</t>
  </si>
  <si>
    <t>Biochemical and genetic characterization of mundticin KS, an antilisterial peptide produced by Enterococcus mundtii NFRI 7393</t>
  </si>
  <si>
    <t>Bac_030</t>
  </si>
  <si>
    <t>Pediocin PA-1 (pediocin AcH)</t>
  </si>
  <si>
    <r>
      <rPr>
        <sz val="10"/>
        <color theme="0" tint="-0.34998626667073579"/>
        <rFont val="Times New Roman"/>
        <family val="1"/>
      </rPr>
      <t>MKKIEKLTEKEMANIIGG</t>
    </r>
    <r>
      <rPr>
        <sz val="10"/>
        <color theme="1"/>
        <rFont val="Times New Roman"/>
        <family val="1"/>
      </rPr>
      <t>KYYGNGVTCGKHSCSVDWGKATTCIINNGAMAWATGGHQGNHKC</t>
    </r>
  </si>
  <si>
    <t>MKKIEKLTEKEMANIIGG</t>
  </si>
  <si>
    <t>KYYGNGVTCGKHSCSVDWGKATTCIINNGAMAWATGGHQGNHKC</t>
  </si>
  <si>
    <t>Pediococcus acidilactici</t>
  </si>
  <si>
    <t>PAC 1.0</t>
    <phoneticPr fontId="5" type="noConversion"/>
  </si>
  <si>
    <t>M83924</t>
  </si>
  <si>
    <t>10.1128/aem.58.8.2360-2367.1992</t>
  </si>
  <si>
    <t>1OG7</t>
  </si>
  <si>
    <t>P29430</t>
  </si>
  <si>
    <t>Cloning, expression, and nucleotide sequence of genes involved in production of pediocin PA-1, and bacteriocin from Pediococcus acidilactici PAC1.0</t>
  </si>
  <si>
    <t>Bac_031</t>
  </si>
  <si>
    <t>Piscicolin 126</t>
  </si>
  <si>
    <t>Piscicocin V1a</t>
  </si>
  <si>
    <r>
      <rPr>
        <sz val="10"/>
        <color theme="0" tint="-0.34998626667073579"/>
        <rFont val="Times New Roman"/>
        <family val="1"/>
      </rPr>
      <t>MKTVKELSVKEMQLTTGG</t>
    </r>
    <r>
      <rPr>
        <sz val="10"/>
        <color theme="1"/>
        <rFont val="Times New Roman"/>
        <family val="1"/>
      </rPr>
      <t>KYYGNGVSCNKNGCTVDWSKAIGIIGNNAAANLTTGGAAGWNKG</t>
    </r>
  </si>
  <si>
    <t>MKTVKELSVKEMQLTTGG</t>
  </si>
  <si>
    <t>KYYGNGVSCNKNGCTVDWSKAIGIIGNNAAANLTTGGAAGWNKG</t>
  </si>
  <si>
    <t>JG126</t>
  </si>
  <si>
    <t>P80569</t>
  </si>
  <si>
    <t>10.1128/aem.62.8.2897-2903.1996</t>
  </si>
  <si>
    <t xml:space="preserve">P80569 </t>
  </si>
  <si>
    <t>Characterization of the chemical and antimicrobial properties of piscicolin 126, a bacteriocin produced by Carnobacterium piscicola JG126</t>
  </si>
  <si>
    <t>Bac_032</t>
  </si>
  <si>
    <t>Plantaricin 423 (bacteriocin 42)</t>
  </si>
  <si>
    <r>
      <rPr>
        <sz val="10"/>
        <color theme="0" tint="-0.34998626667073579"/>
        <rFont val="Times New Roman"/>
        <family val="1"/>
      </rPr>
      <t>MMKKIEKLTEKEMANIIGG</t>
    </r>
    <r>
      <rPr>
        <sz val="10"/>
        <color theme="1"/>
        <rFont val="Times New Roman"/>
        <family val="1"/>
      </rPr>
      <t>KYYGNGVTCGKHSCSVNWGQAFSCSVSHLANFGHGKC</t>
    </r>
  </si>
  <si>
    <t>MMKKIEKLTEKEMANIIGG</t>
  </si>
  <si>
    <t>KYYGNGVTCGKHSCSVNWGQAFSCSVSHLANFGHGKC</t>
  </si>
  <si>
    <t>Lactobacillus plantarum</t>
  </si>
  <si>
    <t>AF304384</t>
  </si>
  <si>
    <t>10.1016/s0168-1605(02)00164-2</t>
  </si>
  <si>
    <t xml:space="preserve">Q93FV7 </t>
  </si>
  <si>
    <t>Characterization and heterologous expression of a class IIa bacteriocin, plantaricin 423 from Lactobacillus plantarum 423, in Saccharomyces cerevisiae</t>
  </si>
  <si>
    <t>Bac_033</t>
  </si>
  <si>
    <t>Lactobacillus sakei</t>
  </si>
  <si>
    <t>10.1099/00221287-138-12-2715</t>
  </si>
  <si>
    <t>P0A310</t>
  </si>
  <si>
    <t>Purification and amino acid sequence of sakacin A, a bacteriocin from Lactobacillus sake Lb706</t>
  </si>
  <si>
    <t>Bac_034</t>
  </si>
  <si>
    <t>Sakacin P</t>
  </si>
  <si>
    <r>
      <rPr>
        <sz val="10"/>
        <color theme="0" tint="-0.34998626667073579"/>
        <rFont val="Times New Roman"/>
        <family val="1"/>
      </rPr>
      <t>MEKFIELSLKEVTAITGG</t>
    </r>
    <r>
      <rPr>
        <sz val="10"/>
        <color theme="1"/>
        <rFont val="Times New Roman"/>
        <family val="1"/>
      </rPr>
      <t>KYYGNGVHCGKHSCTVDWGTAIGNIGNNAAANWATGGNAGWNK</t>
    </r>
  </si>
  <si>
    <t>MEKFIELSLKEVTAITGG</t>
  </si>
  <si>
    <t>KYYGNGVHCGKHSCTVDWGTAIGNIGNNAAANWATGGNAGWNK</t>
  </si>
  <si>
    <t>LTH 673</t>
  </si>
  <si>
    <t>X75081</t>
  </si>
  <si>
    <t>10.1099/13500872-140-2-361</t>
  </si>
  <si>
    <t>P35618</t>
  </si>
  <si>
    <t>Cloning and sequencing of sakP encoding sakacin P, the bacteriocin produced by Lactobacillus sake LTH 673</t>
  </si>
  <si>
    <t>Bac_035</t>
  </si>
  <si>
    <t>Sakacin G</t>
  </si>
  <si>
    <r>
      <rPr>
        <sz val="10"/>
        <color theme="0" tint="-0.34998626667073579"/>
        <rFont val="Times New Roman"/>
        <family val="1"/>
      </rPr>
      <t>MKNTRSLTIQEIKSITGG</t>
    </r>
    <r>
      <rPr>
        <sz val="10"/>
        <color theme="1"/>
        <rFont val="Times New Roman"/>
        <family val="1"/>
      </rPr>
      <t>KYYGNGVSCNSHGCSVNWGQAWTCGVNHLANGGHGGVC</t>
    </r>
  </si>
  <si>
    <t>MKNTRSLTIQEIKSITGG</t>
  </si>
  <si>
    <t>KYYGNGVSCNSHGCSVNWGQAWTCGVNHLANGGHGGVC</t>
  </si>
  <si>
    <t>AF395533</t>
  </si>
  <si>
    <t>10.1128/AEM.68.12.6416-6420.2002</t>
  </si>
  <si>
    <t>Sakacin g, a new type of antilisterial bacteriocin</t>
  </si>
  <si>
    <t>Bac_036</t>
  </si>
  <si>
    <t>Sakacin D98b</t>
  </si>
  <si>
    <r>
      <rPr>
        <sz val="10"/>
        <color theme="6"/>
        <rFont val="Times New Roman"/>
        <family val="1"/>
      </rPr>
      <t>MNNYSAINELELKSVKGG</t>
    </r>
    <r>
      <rPr>
        <sz val="10"/>
        <color theme="1"/>
        <rFont val="Times New Roman"/>
        <family val="1"/>
      </rPr>
      <t>KITHYANGVSCSTKTGTCSVNWNQAASGIGKIIVNGWAQHGPLSH</t>
    </r>
  </si>
  <si>
    <t>MNNYSAINELELKSVKGG</t>
  </si>
  <si>
    <t>KITHYANGVSCSTKTGTCSVNWNQAASGIGKIIVNGWAQHGPLSH</t>
  </si>
  <si>
    <t>D98</t>
  </si>
  <si>
    <t>AB771454</t>
  </si>
  <si>
    <t>10.1111/jam.12226</t>
  </si>
  <si>
    <t>Identification and characterization of novel multiple bacteriocins produced by Lactobacillus sakei D98</t>
  </si>
  <si>
    <t>Bac_037</t>
  </si>
  <si>
    <r>
      <rPr>
        <sz val="10"/>
        <color theme="6"/>
        <rFont val="Times New Roman"/>
        <family val="1"/>
      </rPr>
      <t>MTRSKKLNLREMKNVVGG</t>
    </r>
    <r>
      <rPr>
        <sz val="10"/>
        <color theme="1"/>
        <rFont val="Times New Roman"/>
        <family val="1"/>
      </rPr>
      <t>TYYGNGVSCNKKGCSVDWGKAISIIGNNSAANLATGGAAGWKS</t>
    </r>
  </si>
  <si>
    <t>TG2</t>
  </si>
  <si>
    <t>10.1007/s12010-017-2614-1</t>
  </si>
  <si>
    <t>Purification and Characterization of Bacteriocin Produced by a Strain of Enterococcus faecalis TG2</t>
  </si>
  <si>
    <t>Bac_038</t>
  </si>
  <si>
    <t>Sakacin X (sakacin 5X)</t>
  </si>
  <si>
    <r>
      <rPr>
        <sz val="10"/>
        <color theme="6"/>
        <rFont val="Times New Roman"/>
        <family val="1"/>
      </rPr>
      <t>MEAIKKLDLQAMKGIVGG</t>
    </r>
    <r>
      <rPr>
        <sz val="10"/>
        <color theme="1"/>
        <rFont val="Times New Roman"/>
        <family val="1"/>
      </rPr>
      <t>KYYGNGLSCNKSGCSVDWSKAISIIGNNAVANLTTGGAAGWKS</t>
    </r>
  </si>
  <si>
    <t>MEAIKKLDLQAMKGIVGG</t>
  </si>
  <si>
    <t>KYYGNGLSCNKSGCSVDWSKAISIIGNNAVANLTTGGAAGWKS</t>
  </si>
  <si>
    <t>AY206863</t>
  </si>
  <si>
    <t>10.1128/AEM.69.12.7194–7203.2003</t>
  </si>
  <si>
    <t>Functional characterization of a composite bacteriocin locus from malt isolate Lactobacillus sakei 5</t>
  </si>
  <si>
    <t>Bac_039</t>
  </si>
  <si>
    <t>enterocin BC25</t>
  </si>
  <si>
    <r>
      <rPr>
        <sz val="10"/>
        <color theme="6"/>
        <rFont val="Times New Roman"/>
        <family val="1"/>
      </rPr>
      <t>MKHLKILSIKQTQLIYGG</t>
    </r>
    <r>
      <rPr>
        <sz val="10"/>
        <color theme="1"/>
        <rFont val="Times New Roman"/>
        <family val="1"/>
      </rPr>
      <t>TTHSGKYYGNGVYCTKNKCTVDWAKATTCIAGMSIGGFLGGAIPGKC</t>
    </r>
  </si>
  <si>
    <t>MKHLKILSIKQTQLIYGG</t>
  </si>
  <si>
    <t>BC25</t>
  </si>
  <si>
    <t>AF240561</t>
  </si>
  <si>
    <t>10.1078/0944-5013-00090</t>
  </si>
  <si>
    <t>Isolation and characterization of enterocin BC25 and occurrence of the entA gene among ruminal gram-positive cocci</t>
  </si>
  <si>
    <t>Bac_040</t>
  </si>
  <si>
    <t>Penocin A</t>
  </si>
  <si>
    <r>
      <rPr>
        <sz val="10"/>
        <color theme="6"/>
        <rFont val="Times New Roman"/>
        <family val="1"/>
      </rPr>
      <t>MTEIKVLNDKELKNVVGG</t>
    </r>
    <r>
      <rPr>
        <sz val="10"/>
        <color theme="1"/>
        <rFont val="Times New Roman"/>
        <family val="1"/>
      </rPr>
      <t>KYYGNGVHCGKKTCYVDWGQATASIGKIIVNGWTQHGPWAHR</t>
    </r>
  </si>
  <si>
    <t>MTEIKVLNDKELKNVVGG</t>
  </si>
  <si>
    <t>KYYGNGVHCGKKTCYVDWGQATASIGKIIVNGWTQHGPWAHR</t>
  </si>
  <si>
    <t>Pediococcus pentosaceus</t>
  </si>
  <si>
    <t>ATCC 25745</t>
  </si>
  <si>
    <t>10.1099/mic.0.28794-0</t>
  </si>
  <si>
    <t>Data mining and characterization of a novel pediocin-like bacteriocin system from the genome of Pediococcus pentosaceus ATCC 25745</t>
  </si>
  <si>
    <t>Bac_041</t>
  </si>
  <si>
    <t>Maltaricin CPN</t>
  </si>
  <si>
    <r>
      <rPr>
        <sz val="10"/>
        <color theme="0" tint="-0.34998626667073579"/>
        <rFont val="Times New Roman"/>
        <family val="1"/>
      </rPr>
      <t>MKNVKELSVKEMQLIKGG</t>
    </r>
    <r>
      <rPr>
        <sz val="10"/>
        <color theme="1"/>
        <rFont val="Times New Roman"/>
        <family val="1"/>
      </rPr>
      <t>KYYGNGLSCNKKGCTVDWGTAIGIIGNNAAANWATGGAAGWNKG</t>
    </r>
  </si>
  <si>
    <t>MKNVKELSVKEMQLIKGG</t>
  </si>
  <si>
    <t>KYYGNGLSCNKKGCTVDWGTAIGIIGNNAAANWATGGAAGWNKG</t>
  </si>
  <si>
    <t>Carnobacterium maltaromaticum</t>
  </si>
  <si>
    <t xml:space="preserve">CPN </t>
  </si>
  <si>
    <t>10.1111/jam.13248</t>
  </si>
  <si>
    <t>WP_187958739.1</t>
  </si>
  <si>
    <t>Maltaricin CPN, a new class IIa bacteriocin produced by Carnobacterium maltaromaticum CPN isolated from mould-ripened cheese</t>
  </si>
  <si>
    <t>Deduced full sequence</t>
  </si>
  <si>
    <t>Bac_042</t>
  </si>
  <si>
    <t>coagulin</t>
  </si>
  <si>
    <r>
      <rPr>
        <sz val="10"/>
        <color theme="0" tint="-0.34998626667073579"/>
        <rFont val="Times New Roman"/>
        <family val="1"/>
      </rPr>
      <t>MMKKIEKLTEKEMANIIGG</t>
    </r>
    <r>
      <rPr>
        <sz val="10"/>
        <color theme="1"/>
        <rFont val="Times New Roman"/>
        <family val="1"/>
      </rPr>
      <t>KYYGNGVTCGKHSCSVDWGKATTCIINNGAMAWATGGHQGTHKC</t>
    </r>
  </si>
  <si>
    <t>KYYGNGVTCGKHSCSVDWGKATTCIINNGAMAWATGGHQGTHKC</t>
  </si>
  <si>
    <t>KRL03868.1</t>
  </si>
  <si>
    <t>Bac_043</t>
  </si>
  <si>
    <t>Leucocin C</t>
  </si>
  <si>
    <t>IIa</t>
  </si>
  <si>
    <r>
      <rPr>
        <sz val="10"/>
        <color theme="6"/>
        <rFont val="Times New Roman"/>
        <family val="1"/>
      </rPr>
      <t>MMNMKPTESYEQLDNSALEQVIGG</t>
    </r>
    <r>
      <rPr>
        <sz val="10"/>
        <color theme="1"/>
        <rFont val="Times New Roman"/>
        <family val="1"/>
      </rPr>
      <t>KNYGNGVHCTKKGCSVDWGYAWTNIANNSVMNGLTGGNAGWHN</t>
    </r>
  </si>
  <si>
    <t>MMNMKPTESYEQLDNSALEQVIGG</t>
  </si>
  <si>
    <t>KNYGNGVHCTKKGCSVDWGYAWTNIANNSVMNGLTGGNAGWHN</t>
  </si>
  <si>
    <t>TA33a</t>
  </si>
  <si>
    <t>JQ061256</t>
  </si>
  <si>
    <t>10.1016/s0006-291x(02)00769-6</t>
  </si>
  <si>
    <t xml:space="preserve">P81053 </t>
  </si>
  <si>
    <t>AEY55410.1</t>
  </si>
  <si>
    <t>The complete amino acid sequence of the pediocin-like antimicrobial peptide leucocin C</t>
  </si>
  <si>
    <t>Bac_044</t>
  </si>
  <si>
    <t>V1</t>
  </si>
  <si>
    <t>10.1128/aem.62.12.4410-4416.1996</t>
  </si>
  <si>
    <t>WP_057000613.1</t>
  </si>
  <si>
    <t>Purification and amino acid sequences of piscicocins V1a and V1b, two class IIa bacteriocins secreted by Carnobacterium piscicola V1 that display significantly different levels of specific inhibitory activity</t>
  </si>
  <si>
    <t>Bac_045</t>
  </si>
  <si>
    <t>WP_010051997.1</t>
  </si>
  <si>
    <t>Bac_046</t>
  </si>
  <si>
    <t>Plantaricin LPL-1</t>
  </si>
  <si>
    <r>
      <rPr>
        <sz val="10"/>
        <color theme="6"/>
        <rFont val="Times New Roman"/>
        <family val="1"/>
      </rPr>
      <t>MKKIEKLTEKEMANIIGG</t>
    </r>
    <r>
      <rPr>
        <sz val="10"/>
        <color theme="1"/>
        <rFont val="Times New Roman"/>
        <family val="1"/>
      </rPr>
      <t>VIADKYYGNGVSCGKHTCTVDWGEAFSCSVSHLANFGHGKC</t>
    </r>
  </si>
  <si>
    <t>VIADKYYGNGVSCGKHTCTVDWGEAFSCSVSHLANFGHGKC</t>
  </si>
  <si>
    <t>LPL-1</t>
  </si>
  <si>
    <t>CP021998</t>
  </si>
  <si>
    <t>10.3389/fmicb.2018.02276</t>
  </si>
  <si>
    <t>WP_089434301.1</t>
  </si>
  <si>
    <t>Purification and Characterization of Plantaricin LPL-1, a Novel Class IIa Bacteriocin Produced by Lactobacillus plantarum LPL-1 Isolated From Fermented Fish</t>
  </si>
  <si>
    <t>Bac_047</t>
  </si>
  <si>
    <t>Enterocin Gr17</t>
  </si>
  <si>
    <r>
      <rPr>
        <sz val="10"/>
        <color theme="6"/>
        <rFont val="Times New Roman"/>
        <family val="1"/>
      </rPr>
      <t>MTNFGTKVDAAT</t>
    </r>
    <r>
      <rPr>
        <sz val="10"/>
        <color theme="1"/>
        <rFont val="Times New Roman"/>
        <family val="1"/>
      </rPr>
      <t>RSYGNGVYCNNSKCWVNWGEAKENIIGIVISGWATGLAGMGR</t>
    </r>
  </si>
  <si>
    <t>MTNFGTKVDAAT</t>
  </si>
  <si>
    <t>RSYGNGVYCNNSKCWVNWGEAKENIIGIVISGWATGLAGMGR</t>
  </si>
  <si>
    <t>Gr17</t>
  </si>
  <si>
    <t>10.3389/fmicb.2019.01806</t>
  </si>
  <si>
    <t>AYQ61230.1</t>
  </si>
  <si>
    <t>Genetic and Biochemical Evidence That Enterococcus faecalis Gr17 Produces a Novel and Sec-Dependent Bacteriocin, Enterocin Gr17</t>
  </si>
  <si>
    <t>Bac_048</t>
  </si>
  <si>
    <t>Mesenterocin 52A</t>
    <phoneticPr fontId="5" type="noConversion"/>
  </si>
  <si>
    <t>Unknown</t>
  </si>
  <si>
    <t>FR52</t>
  </si>
  <si>
    <t>No</t>
  </si>
  <si>
    <t>10.1111/j.1472-765x.1996.tb00045.x</t>
  </si>
  <si>
    <t>Leuconostoc mesenteroides subsp. mesenteroides FR52 synthesizes two distinct bacteriocins</t>
  </si>
  <si>
    <t>Identical to Mesentericin Y105</t>
  </si>
  <si>
    <t>Bac_049</t>
  </si>
  <si>
    <t>Enterocin P-like</t>
  </si>
  <si>
    <t>ATRSYGNGVYCNDDKCWVNWNEANQQIAGIVISGWASGLAGMGH</t>
  </si>
  <si>
    <t>GM-1</t>
  </si>
  <si>
    <t>AY728265</t>
  </si>
  <si>
    <t>10.1111/j.1365-2672.2005.02556.x</t>
  </si>
  <si>
    <t>Characterization of a bacteriocin produced by Enterococcus faecium GM-1 isolated from an infant</t>
  </si>
  <si>
    <t>unknown leader</t>
  </si>
  <si>
    <t>Bac_050</t>
  </si>
  <si>
    <t>Weissellin A</t>
  </si>
  <si>
    <t>KNYGNGVYCNKHKCSVDWATFSANIANNSVAMAGLTGGNAGNK</t>
  </si>
  <si>
    <t>Weissella paramesenteroides</t>
  </si>
  <si>
    <t>DX</t>
  </si>
  <si>
    <t>10.1016/j.biortech.2011.03.106</t>
  </si>
  <si>
    <t xml:space="preserve">B3A0N4 </t>
  </si>
  <si>
    <t>Purification, amino acid sequence and characterization of the class IIa bacteriocin weissellin A, produced by Weissella paramesenteroides DX</t>
  </si>
  <si>
    <t>unknwon leader</t>
  </si>
  <si>
    <t>Bac_051</t>
  </si>
  <si>
    <t>Bacteriocin OR7</t>
  </si>
  <si>
    <t>KTYYGTNGVHCTKNSLWGKVRLKNMKYDQNTTYMGRLQDILLGWATGAFGKTH</t>
  </si>
  <si>
    <t>Lactobacillus salivarius</t>
  </si>
  <si>
    <t>NRRL B-30514</t>
  </si>
  <si>
    <t>10.1128/AAC.00259-06</t>
  </si>
  <si>
    <t>Isolation of a Lactobacillus salivarius strain and purification of its bacteriocin, which is inhibitory to Campylobacter jejuni in the chicken gastrointestinal system</t>
  </si>
  <si>
    <t>Bac_052</t>
  </si>
  <si>
    <t>Bacteriocin L-1077</t>
  </si>
  <si>
    <t>TNYGNGVGVPDAIMAGIIKLIFIFNIRQGYNFGKKAT</t>
  </si>
  <si>
    <t>10.1128/AEM.02481-10</t>
  </si>
  <si>
    <t>Isolation of Lactobacillus salivarius 1077 (NRRL B-50053) and characterization of its bacteriocin, including the antimicrobial activity spectrum</t>
  </si>
  <si>
    <t>Bac_053</t>
  </si>
  <si>
    <t>Bavaricin MN</t>
  </si>
  <si>
    <t>TKYYGNGVYCNSKKCWVDWGQAAGGIGQTVVXGWLGGAIPGK</t>
  </si>
  <si>
    <t>Lactobacillus bavaricus</t>
  </si>
  <si>
    <t>MN</t>
  </si>
  <si>
    <t>P80493</t>
  </si>
  <si>
    <t>10.1128/aem.62.12.4529-4535.1996</t>
  </si>
  <si>
    <t xml:space="preserve">P80493 </t>
  </si>
  <si>
    <t>Purification of the bacteriocin bavaricin MN and characterization of its mode of action against Listeria monocytogenes Scott A cells and lipid vesicles</t>
  </si>
  <si>
    <t>Bac_054</t>
  </si>
  <si>
    <t>Bavaricin A</t>
  </si>
  <si>
    <t>KYYGNGVHCGKHSCTVDWGTAIGNIGNNAAANXATGXNAGG</t>
  </si>
  <si>
    <t>MI401</t>
  </si>
  <si>
    <t>10.1111/j.1365-2672.1993.tb02755.x</t>
  </si>
  <si>
    <t xml:space="preserve">P80953 </t>
  </si>
  <si>
    <t>Antimicrobial activity of lactic acid bacteria isolated from sour doughs: purification and characterization of bavaricin A, a bacteriocin produced by Lactobacillus bavaricus MI401</t>
  </si>
  <si>
    <t>Bac_055</t>
  </si>
  <si>
    <t>Bifidocin B</t>
  </si>
  <si>
    <t>KYYGNGVTCGLHDCRVDRGKATCGIINNGGMWGDIG</t>
  </si>
  <si>
    <t>Biﬁdobacterium biﬁdum</t>
  </si>
  <si>
    <t>NCFB 1454</t>
  </si>
  <si>
    <t>10.1046/j.1365-2672.1999.00629.x</t>
  </si>
  <si>
    <t>Purification, amino acid sequence and mode of action of bifidocin B produced by Bifidobacterium bifidum NCFB 1454</t>
  </si>
  <si>
    <t>Bac_056</t>
  </si>
  <si>
    <t>Lactococcin MMFII</t>
  </si>
  <si>
    <t>TSYGNGVHCNKSKCWIDVSELETYKAGTVSNPKDILW</t>
  </si>
  <si>
    <t>Lactococcus lactis</t>
  </si>
  <si>
    <t>MMFII</t>
  </si>
  <si>
    <t>P83002</t>
  </si>
  <si>
    <t>10.1111/j.1574-6968.2001.tb10924.x</t>
  </si>
  <si>
    <t>1AB1</t>
  </si>
  <si>
    <t>Lactococcin MMFII, a novel class IIa bacteriocin produced by Lactococcus lactis MMFII, isolated from a Tunisian dairy product</t>
  </si>
  <si>
    <t>Bac_057</t>
  </si>
  <si>
    <t>Bacteriocin GA15</t>
  </si>
  <si>
    <t>KYYGNGLSCSKKGCTVNWGQAFSCGVNRVATAGH</t>
  </si>
  <si>
    <t>Lactiplantibacillus plantarum</t>
  </si>
  <si>
    <t>GCNRC_GA15</t>
  </si>
  <si>
    <t>10.1016/j.ijbiomac.2022.06.003</t>
  </si>
  <si>
    <t>Purification, amino acid sequence, and characterization of bacteriocin GA15, a novel class IIa bacteriocin secreted by Lactiplantibacillus plantarum GCNRC_GA15</t>
  </si>
  <si>
    <t>Bac_058</t>
  </si>
  <si>
    <t>Mundticin</t>
  </si>
  <si>
    <t>KYYGNGVSCNKKGCSVDWGKAIGIIGNNSAANLATGGAAGWSK</t>
  </si>
  <si>
    <t>ATO6</t>
  </si>
  <si>
    <t>P80925</t>
  </si>
  <si>
    <t>10.1016/s0005-2736(98)00086-8</t>
  </si>
  <si>
    <t>A novel bacteriocin with a YGNGV motif from vegetable-associated Enterococcus mundtii: full characterization and interaction with target organisms</t>
  </si>
  <si>
    <t>Bac_059</t>
  </si>
  <si>
    <t>Plantaricin C19</t>
  </si>
  <si>
    <t>KYYGNGLSCSKKGCTVNWGQAFSCGVNRVATAGHGK</t>
  </si>
  <si>
    <t>C19</t>
  </si>
  <si>
    <t>10.1016/s0168-1605(01)00482-2</t>
  </si>
  <si>
    <t>Mode of action, purification and amino acid sequence of plantaricin C19, an anti-Listeria bacteriocin produced by Lactobacillus plantarum C19</t>
  </si>
  <si>
    <t>Bac_060</t>
  </si>
  <si>
    <t>Enterocin L11</t>
  </si>
  <si>
    <t>KYYGNGVTCGWHSMSVDRYLQYRWANQNYWSMWATMLVLSASTFPENHLLRTEGGWN</t>
  </si>
  <si>
    <t>L11</t>
  </si>
  <si>
    <t>10.1007/s10529-016-2055-x</t>
  </si>
  <si>
    <t>Purification and characteristics of a novel bacteriocin produced by Enterococcus faecalis L11 isolated from Chinese traditional fermented cucumber</t>
  </si>
  <si>
    <t>Bac_061</t>
  </si>
  <si>
    <t>Enterocin M</t>
  </si>
  <si>
    <t>ATRSYGNGVYCNNSKCWNVGEAKENIAGIVISGKASGL</t>
  </si>
  <si>
    <t>AL41</t>
  </si>
  <si>
    <t>10.1007/s10295-007-0226-4</t>
  </si>
  <si>
    <t>Isolation and characterization of a new bacteriocin, termed enterocin M, produced by environmental isolate Enterococcus faecium AL41</t>
  </si>
  <si>
    <t>unknow leader</t>
    <phoneticPr fontId="5" type="noConversion"/>
  </si>
  <si>
    <t>Bac_062</t>
  </si>
  <si>
    <t xml:space="preserve">	Bacteriocin OR-7</t>
  </si>
  <si>
    <t>KTYYGTNGVHCTKNSLWGKVRLKNMKYDQNTTYMGRLQDILLGWATGAFGKTFH</t>
  </si>
  <si>
    <t>Bac_063</t>
  </si>
  <si>
    <t>KYYGNGVHXGKHSXTVDWGTAIGNIGNNAAANXATGXNAGG</t>
  </si>
  <si>
    <t>unknwon leader, contain undetermined residues</t>
  </si>
  <si>
    <t>Bac_064</t>
  </si>
  <si>
    <t>Mutacin F-59.1</t>
  </si>
  <si>
    <t>KYYGNGVTCGKHSXSVDWSKATTNI</t>
  </si>
  <si>
    <t>Streptococcus mutans</t>
  </si>
  <si>
    <t>10.1186/1471-2180-11-69</t>
  </si>
  <si>
    <t xml:space="preserve">P86386 </t>
  </si>
  <si>
    <t>Production, purification, sequencing and activity spectra of mutacins D-123.1 and F-59.1</t>
  </si>
  <si>
    <t>Bac_065</t>
  </si>
  <si>
    <t>Garviecin LG34</t>
  </si>
  <si>
    <t>LAMVKYYGNGVSCNWRKHSCKKGLSVDWVYFGLLHNLGALRWYQHR</t>
  </si>
  <si>
    <t>Lactococcus garvieae</t>
  </si>
  <si>
    <t>LG34</t>
  </si>
  <si>
    <t>10.1016/j.foodcont.2014.10.040</t>
  </si>
  <si>
    <t>Garviecin LG34, a novel bacteriocin produced by Lactococcus garvieae
isolated from traditional Chinese fermented cucumber</t>
  </si>
  <si>
    <t>Bac_066</t>
  </si>
  <si>
    <t>Bacteriocin</t>
  </si>
  <si>
    <t>TSYGNGVHCNKSKCWIDVSELETYKAGTVSNPKDILWSLKE</t>
  </si>
  <si>
    <t>Lactococcus sp</t>
  </si>
  <si>
    <t xml:space="preserve">P86291 </t>
  </si>
  <si>
    <t>Molecular characterisation of bacteriocin from microflora associated with radish and ginger</t>
  </si>
  <si>
    <t>Bac_067</t>
  </si>
  <si>
    <t>Bacteriocin E 50–52</t>
  </si>
  <si>
    <t>TTKNYGNGVCNSVNWCQCGNVWASCNLATGCAAWLCKLA</t>
    <phoneticPr fontId="5" type="noConversion"/>
  </si>
  <si>
    <t>Enterococcus faecium</t>
    <phoneticPr fontId="5" type="noConversion"/>
  </si>
  <si>
    <t>50–52</t>
  </si>
  <si>
    <t>10.1007/s12602-009-9027-6</t>
    <phoneticPr fontId="5" type="noConversion"/>
  </si>
  <si>
    <t>P85148</t>
  </si>
  <si>
    <t>Antimicrobial Activities of Bacteriocins E 50-52 and B 602 Against Antibiotic-Resistant Strains Involved in Nosocomial Infections</t>
  </si>
  <si>
    <t>Bac_068</t>
  </si>
  <si>
    <t>SRCAM 602</t>
    <phoneticPr fontId="5" type="noConversion"/>
  </si>
  <si>
    <t>ATYYGNGLYCNKQKHYTWVDWNKASREIGKITVNGWVQH</t>
    <phoneticPr fontId="5" type="noConversion"/>
  </si>
  <si>
    <t>Paenibacillus polymyxa</t>
    <phoneticPr fontId="5" type="noConversion"/>
  </si>
  <si>
    <t>NRRL B-30509</t>
  </si>
  <si>
    <t>10.4315/0362-028x-68.1.11</t>
    <phoneticPr fontId="5" type="noConversion"/>
  </si>
  <si>
    <t>Isolation of Bacillus circulans and Paenibacillus polymyxa strains inhibitory to Campylobacter jejuni and characterization of associated bacteriocins</t>
  </si>
  <si>
    <t>Bac_069</t>
  </si>
  <si>
    <t>SRCAM 1580</t>
    <phoneticPr fontId="5" type="noConversion"/>
  </si>
  <si>
    <t>VNYGNGVSCSKTKCSVNWGIITHQAFRVTSGVASG</t>
    <phoneticPr fontId="5" type="noConversion"/>
  </si>
  <si>
    <t>Bacillus circulans</t>
  </si>
  <si>
    <t>NRRL B-30644</t>
  </si>
  <si>
    <t>1CW5</t>
  </si>
  <si>
    <t>P86394</t>
  </si>
  <si>
    <t>Bac_070</t>
  </si>
  <si>
    <t>SRCAM 37</t>
    <phoneticPr fontId="5" type="noConversion"/>
  </si>
  <si>
    <t>FVYGNGVTSILVQAQFLVNGQRRFFYTPDK</t>
    <phoneticPr fontId="5" type="noConversion"/>
  </si>
  <si>
    <t>NRRL B-30507</t>
  </si>
  <si>
    <t>Bac_071</t>
  </si>
  <si>
    <t>Curvaticin DN317</t>
  </si>
  <si>
    <t>IPYGGNGVHHGKAGDSXTVDTAIGNIGNNAASIIGGMISGWASGLAG</t>
  </si>
  <si>
    <t>DN317</t>
  </si>
  <si>
    <t>10.1007/s12602-016-9237-7</t>
  </si>
  <si>
    <t>Purification and Characterization of a Novel Anti-Campylobacter Bacteriocin Produced by Lactobacillus curvatus DN317</t>
  </si>
  <si>
    <t>unknow leader</t>
  </si>
  <si>
    <t>Bac_072</t>
  </si>
  <si>
    <t>Curvaticin L442</t>
  </si>
  <si>
    <t>AYPGNGVHCGKYSCTVDKQTAIGNIGNNAA</t>
  </si>
  <si>
    <t>Lactobacillus curvatus</t>
    <phoneticPr fontId="5" type="noConversion"/>
  </si>
  <si>
    <t>L442</t>
  </si>
  <si>
    <t>10.1007/s10482-005-9004-3</t>
    <phoneticPr fontId="5" type="noConversion"/>
  </si>
  <si>
    <t>Purification and characterization of curvaticin L442, a bacteriocin produced by Lactobacillus curvatus L442</t>
  </si>
  <si>
    <t>Bac_073</t>
  </si>
  <si>
    <t>Divergicin M35</t>
  </si>
  <si>
    <t>TKYYGNGVYCNSKKCWVDWGTAQGCIDVVIGQLGGGIPGKGKC</t>
    <phoneticPr fontId="5" type="noConversion"/>
  </si>
  <si>
    <t>M35</t>
  </si>
  <si>
    <t>10.1016/j.ijfoodmicro.2004.04.013</t>
    <phoneticPr fontId="5" type="noConversion"/>
  </si>
  <si>
    <t>P84962</t>
  </si>
  <si>
    <t>Purification, characterization and amino acid sequencing of divergicin M35: a novel class IIa bacteriocin produced by Carnobacterium divergens M35</t>
  </si>
  <si>
    <t>Bac_074</t>
  </si>
  <si>
    <t>Piscicocin CS526</t>
  </si>
  <si>
    <t>KYYGNGLSXNKKGXTVDWGTAIGIIGNNAAANXATGGAAGXNK</t>
    <phoneticPr fontId="5" type="noConversion"/>
  </si>
  <si>
    <t>CS526</t>
  </si>
  <si>
    <t>10.1128/AEM.71.1.554-557.2005</t>
    <phoneticPr fontId="5" type="noConversion"/>
  </si>
  <si>
    <t>Purification and characterization of a novel class IIa bacteriocin, piscicocin CS526, from surimi-associated Carnobacterium piscicola CS526</t>
  </si>
  <si>
    <t>unknown leader, contain undetermined residues</t>
  </si>
  <si>
    <t>Bac_075</t>
  </si>
  <si>
    <t>Enterocin T</t>
  </si>
  <si>
    <t>ATYYGNGVYXDKKKXWVEWGQA</t>
  </si>
  <si>
    <t>Enterococcus sp.</t>
  </si>
  <si>
    <t>NO</t>
  </si>
  <si>
    <t>10.1007/s00203-013-0917-3</t>
  </si>
  <si>
    <t>Enterocin T, a novel class IIa bacteriocin produced by Enterococcus sp. 812</t>
  </si>
  <si>
    <t>partial</t>
  </si>
  <si>
    <t>Bac_076</t>
  </si>
  <si>
    <t>Pediocin SA-1</t>
  </si>
  <si>
    <t>KYYGXNGVXTXGKHSXVDX</t>
  </si>
  <si>
    <t>NRRL B5627</t>
  </si>
  <si>
    <t>10.1016/j.biortech.2007.11.015</t>
  </si>
  <si>
    <t>Pediocin SA-1, an antimicrobial peptide from Pediococcus acidilactici NRRL B5627: production conditions, purification and characterization</t>
  </si>
  <si>
    <t>Bac_077</t>
  </si>
  <si>
    <t>Pentocin 31-1</t>
    <phoneticPr fontId="5" type="noConversion"/>
  </si>
  <si>
    <t>VIADYGNGVRXATLL</t>
    <phoneticPr fontId="5" type="noConversion"/>
  </si>
  <si>
    <t>Lactobacillus pentosus</t>
  </si>
  <si>
    <t>31-1</t>
    <phoneticPr fontId="5" type="noConversion"/>
  </si>
  <si>
    <t>10.4315/0362-028x-72.12.2524</t>
    <phoneticPr fontId="5" type="noConversion"/>
  </si>
  <si>
    <t>Purification and partial amino acid sequence of pentocin 31-1, an anti-Listeria bacteriocin produced by Lactobacillus pentosus 31-1</t>
  </si>
  <si>
    <t>partial</t>
    <phoneticPr fontId="5" type="noConversion"/>
  </si>
  <si>
    <t>Bac_078</t>
  </si>
  <si>
    <t>pediocin ACCEL</t>
  </si>
  <si>
    <t>KYYGNGVTXGKHSXXVDXG</t>
    <phoneticPr fontId="5" type="noConversion"/>
  </si>
  <si>
    <t>Pediococcus pentosaceus</t>
    <phoneticPr fontId="5" type="noConversion"/>
  </si>
  <si>
    <t>ACCEL</t>
  </si>
  <si>
    <t>10.1021/jf035100d</t>
    <phoneticPr fontId="5" type="noConversion"/>
  </si>
  <si>
    <t>Purification and characterization of bacteriocin from Pediococcus pentosaceus ACCEL</t>
  </si>
  <si>
    <t>Bac_079</t>
  </si>
  <si>
    <t>leucocin C-TA33a</t>
    <phoneticPr fontId="5" type="noConversion"/>
  </si>
  <si>
    <t>KNYGNGVHCTKKGCSVDWGYAATNIANNSVMNGLTG</t>
  </si>
  <si>
    <t>Leuconostoc rnesenteroides</t>
    <phoneticPr fontId="5" type="noConversion"/>
  </si>
  <si>
    <t>10.1099/00221287-144-5-1343</t>
    <phoneticPr fontId="5" type="noConversion"/>
  </si>
  <si>
    <t>Sequence and structural relationships of leucocins A-, B- and C-TA33a from Leuconostoc mesenteroides TA33a</t>
  </si>
  <si>
    <t>Bac_080</t>
  </si>
  <si>
    <t>ABP-118</t>
  </si>
  <si>
    <t>118α</t>
  </si>
  <si>
    <t>Salivaricin P SalPα; salivaricin CRL1328 Salα</t>
  </si>
  <si>
    <t>IIb</t>
    <phoneticPr fontId="5" type="noConversion"/>
  </si>
  <si>
    <r>
      <rPr>
        <sz val="10"/>
        <color theme="0" tint="-0.34998626667073579"/>
        <rFont val="Times New Roman"/>
        <family val="1"/>
      </rPr>
      <t>MMKEFTVLTECELAKVDGG</t>
    </r>
    <r>
      <rPr>
        <sz val="10"/>
        <color theme="1"/>
        <rFont val="Times New Roman"/>
        <family val="1"/>
      </rPr>
      <t>KRGPNCVGNFLGGLFAGAAAGVPLGPAGIVGGANLGMVGGALTCL</t>
    </r>
  </si>
  <si>
    <t>MMKEFTVLTECELAKVDGG</t>
  </si>
  <si>
    <t>KRGPNCVGNFLGGLFAGAAAGVPLGPAGIVGGANLGMVGGALTCL</t>
  </si>
  <si>
    <t>UCC118</t>
  </si>
  <si>
    <t>AF408405</t>
  </si>
  <si>
    <t>10.1099/00221287-148-4-973</t>
  </si>
  <si>
    <t>Q8KWI0</t>
  </si>
  <si>
    <t>Characterization of the genetic locus responsible for the production of ABP-118, a novel bacteriocin produced by the probiotic bacterium Lactobacillus salivarius subsp. salivarius UCC118</t>
  </si>
  <si>
    <t>Bac_081</t>
  </si>
  <si>
    <t>118β</t>
  </si>
  <si>
    <t>salivaricin CRL1328  Salβ</t>
  </si>
  <si>
    <r>
      <rPr>
        <sz val="10"/>
        <color theme="0" tint="-0.34998626667073579"/>
        <rFont val="Times New Roman"/>
        <family val="1"/>
      </rPr>
      <t>MKNLDKRFTIMTEDNLASVNGG</t>
    </r>
    <r>
      <rPr>
        <sz val="10"/>
        <color theme="1"/>
        <rFont val="Times New Roman"/>
        <family val="1"/>
      </rPr>
      <t>KNGYGGSGNRWVHCGAGIVGGALIGAIGGPWSAVAGGISGGFTSCR</t>
    </r>
  </si>
  <si>
    <t>MKNLDKRFTIMTEDNLASVNGG</t>
  </si>
  <si>
    <t>KNGYGGSGNRWVHCGAGIVGGALIGAIGGPWSAVAGGISGGFTSCR</t>
  </si>
  <si>
    <t>Bac_082</t>
  </si>
  <si>
    <t>Amylovorin L</t>
  </si>
  <si>
    <t>amyLa</t>
  </si>
  <si>
    <r>
      <rPr>
        <sz val="10"/>
        <color theme="0" tint="-0.34998626667073579"/>
        <rFont val="Times New Roman"/>
        <family val="1"/>
      </rPr>
      <t>MSKGEVLNEDELTAVVGG</t>
    </r>
    <r>
      <rPr>
        <sz val="10"/>
        <color theme="1"/>
        <rFont val="Times New Roman"/>
        <family val="1"/>
      </rPr>
      <t>SKGKGRNNWAGNTIGIVSSAATGAALGSAICGPGCGFVGAHWGAVGWTAVASFSGAFGKIRK</t>
    </r>
  </si>
  <si>
    <t>MSKGEVLNEDELTAVVGG</t>
  </si>
  <si>
    <t>SKGKGRNNWAGNTIGIVSSAATGAALGSAICGPGCGFVGAHWGAVGWTAVASFSGAFGKIRK</t>
  </si>
  <si>
    <t>Lactobacillus amylovorus</t>
  </si>
  <si>
    <t>DCE 471</t>
  </si>
  <si>
    <t>AM403502</t>
  </si>
  <si>
    <t>10.1111/j.1574-6968.2008.01275.x</t>
  </si>
  <si>
    <t>Characterization of the amylovorin locus of Lactobacillus amylovorus DCE 471, producer of a bacteriocin active against Pseudomonas aeruginosa, in combination with colistin and pyocins</t>
  </si>
  <si>
    <t>Bac_083</t>
  </si>
  <si>
    <t>amyLb</t>
  </si>
  <si>
    <t>lactobin A</t>
  </si>
  <si>
    <r>
      <rPr>
        <sz val="10"/>
        <color theme="0" tint="-0.34998626667073579"/>
        <rFont val="Times New Roman"/>
        <family val="1"/>
      </rPr>
      <t>MKQLNSEQLQNIIGG</t>
    </r>
    <r>
      <rPr>
        <sz val="10"/>
        <color theme="1"/>
        <rFont val="Times New Roman"/>
        <family val="1"/>
      </rPr>
      <t>NRWTNAYSAALGCAVPGVKYGKKLGGVWGAVIGGVGGAAVCGLAGYVRKG</t>
    </r>
  </si>
  <si>
    <t>MKQLNSEQLQNIIGG</t>
  </si>
  <si>
    <t>NRWTNAYSAALGCAVPGVKYGKKLGGVWGAVIGGVGGAAVCGLAGYVRKG</t>
  </si>
  <si>
    <t xml:space="preserve">P80696 </t>
  </si>
  <si>
    <t>Bac_084</t>
  </si>
  <si>
    <t>Acidocin LF221B</t>
  </si>
  <si>
    <t>LF221B</t>
  </si>
  <si>
    <t>gassericin K7A GasK7A β</t>
  </si>
  <si>
    <r>
      <rPr>
        <sz val="10"/>
        <color theme="0" tint="-0.34998626667073579"/>
        <rFont val="Times New Roman"/>
        <family val="1"/>
      </rPr>
      <t>MIEKVSKNELSRIYGG</t>
    </r>
    <r>
      <rPr>
        <sz val="10"/>
        <color theme="1"/>
        <rFont val="Times New Roman"/>
        <family val="1"/>
      </rPr>
      <t>NNVNWGSVAGSCGKGAVMEIYFGNPILGCANGAATSLVLQTASGIYKNYQKKR</t>
    </r>
  </si>
  <si>
    <t>MIEKVSKNELSRIYGG</t>
  </si>
  <si>
    <t>NNVNWGSVAGSCGKGAVMEIYFGNPILGCANGAATSLVLQTASGIYKNYQKKR</t>
  </si>
  <si>
    <t xml:space="preserve">Lactobacillus gasseri </t>
  </si>
  <si>
    <t>LF221</t>
  </si>
  <si>
    <t>AY297947</t>
  </si>
  <si>
    <t>10.1007/s00253-003-1424-2</t>
  </si>
  <si>
    <t>DNA analysis of the genes encoding acidocin LF221 A and acidocin LF221 B, two bacteriocins produced by Lactobacillus gasseri LF221</t>
  </si>
  <si>
    <t>Bac_085</t>
  </si>
  <si>
    <t>LF221β</t>
  </si>
  <si>
    <r>
      <rPr>
        <sz val="10"/>
        <color theme="0" tint="-0.34998626667073579"/>
        <rFont val="Times New Roman"/>
        <family val="1"/>
      </rPr>
      <t>MALKTLEKHELRNVMGG</t>
    </r>
    <r>
      <rPr>
        <sz val="10"/>
        <color theme="1"/>
        <rFont val="Times New Roman"/>
        <family val="1"/>
      </rPr>
      <t>NKWGNAVIGAATGATRGVSWCRGFGPWGMTACALGGAAIGGYLGYKSN</t>
    </r>
  </si>
  <si>
    <t>MALKTLEKHELRNVMGG</t>
  </si>
  <si>
    <t>NKWGNAVIGAATGATRGVSWCRGFGPWGMTACALGGAAIGGYLGYKSN</t>
  </si>
  <si>
    <t>Bac_086</t>
  </si>
  <si>
    <t>Brevicin 174A</t>
  </si>
  <si>
    <t>174A-β</t>
  </si>
  <si>
    <t>plantaricin 1.25α</t>
  </si>
  <si>
    <r>
      <rPr>
        <sz val="10"/>
        <color theme="0" tint="-0.34998626667073579"/>
        <rFont val="Times New Roman"/>
        <family val="1"/>
      </rPr>
      <t>MEKFAVLSLSDLVDIQGG</t>
    </r>
    <r>
      <rPr>
        <sz val="10"/>
        <color theme="1"/>
        <rFont val="Times New Roman"/>
        <family val="1"/>
      </rPr>
      <t>KKKKKYTGPNYRCMVKSGGGLVSGAIGGSPFGVGGIVGGGMAGLVGGAISCLNNK</t>
    </r>
  </si>
  <si>
    <t>MEKFAVLSLSDLVDIQGG</t>
  </si>
  <si>
    <t>KKKKKYTGPNYRCMVKSGGGLVSGAIGGSPFGVGGIVGGGMAGLVGGAISCLNNK</t>
  </si>
  <si>
    <t>Lactobacillus brevis</t>
  </si>
  <si>
    <t>174A</t>
  </si>
  <si>
    <t>LC062087</t>
  </si>
  <si>
    <t>10.1248/bpb.b15-00505</t>
  </si>
  <si>
    <t>Characterization and Mutational Analysis of a Two-Polypeptide Bacteriocin Produced by Citrus Iyo-Derived Lactobacillus brevis 174A</t>
  </si>
  <si>
    <t>Bac_087</t>
  </si>
  <si>
    <t>174A-γ</t>
  </si>
  <si>
    <t>plantaricin 1.25β</t>
  </si>
  <si>
    <r>
      <rPr>
        <sz val="10"/>
        <color theme="0" tint="-0.34998626667073579"/>
        <rFont val="Times New Roman"/>
        <family val="1"/>
      </rPr>
      <t>MYKELTVDELALIDGG</t>
    </r>
    <r>
      <rPr>
        <sz val="10"/>
        <color theme="1"/>
        <rFont val="Times New Roman"/>
        <family val="1"/>
      </rPr>
      <t>KKKKKKVACTWGNAATAAASGAVKGILGGPTGALAGAIWGVSQCASNNLHGMH</t>
    </r>
  </si>
  <si>
    <t>MYKELTVDELALIDGG</t>
  </si>
  <si>
    <t>KKKKKKVACTWGNAATAAASGAVKGILGGPTGALAGAIWGVSQCASNNLHGMH</t>
  </si>
  <si>
    <t>Bac_088</t>
  </si>
  <si>
    <t>Carnobacteriocin XY</t>
  </si>
  <si>
    <t>CbnX</t>
  </si>
  <si>
    <r>
      <rPr>
        <sz val="10"/>
        <color theme="0" tint="-0.34998626667073579"/>
        <rFont val="Times New Roman"/>
        <family val="1"/>
      </rPr>
      <t>MKSVKELNVKEMQQTIGG</t>
    </r>
    <r>
      <rPr>
        <sz val="10"/>
        <color theme="1"/>
        <rFont val="Times New Roman"/>
        <family val="1"/>
      </rPr>
      <t>WGWKEVVQNGQTIFSAGQKLGNMVGKIVPLPFG</t>
    </r>
  </si>
  <si>
    <t>MKSVKELNVKEMQQTIGG</t>
  </si>
  <si>
    <t>WGWKEVVQNGQTIFSAGQKLGNMVGKIVPLPFG</t>
  </si>
  <si>
    <t>Carnobacteria</t>
  </si>
  <si>
    <t>L47121</t>
  </si>
  <si>
    <t>10.1002/1873-3468.12648</t>
  </si>
  <si>
    <t>Identification and three-dimensional structure of carnobacteriocin XY, a class IIb bacteriocin produced by Carnobacteria</t>
  </si>
  <si>
    <t>Bac_089</t>
  </si>
  <si>
    <t>CbnY</t>
  </si>
  <si>
    <r>
      <t>MNKEFKSLNEVEMKKINGG</t>
    </r>
    <r>
      <rPr>
        <sz val="10"/>
        <color theme="1"/>
        <rFont val="Times New Roman"/>
        <family val="1"/>
      </rPr>
      <t>SAILAITLGIFATGYGMGVQKAINDRRKK</t>
    </r>
  </si>
  <si>
    <t>MNKEFKSLNEVEMKKINGG</t>
  </si>
  <si>
    <t>SAILAITLGIFATGYGMGVQKAINDRRKK</t>
  </si>
  <si>
    <t>Bac_090</t>
  </si>
  <si>
    <t>Enterocin X</t>
  </si>
  <si>
    <t>EntXα</t>
  </si>
  <si>
    <r>
      <rPr>
        <sz val="10"/>
        <color theme="0" tint="-0.34998626667073579"/>
        <rFont val="Times New Roman"/>
        <family val="1"/>
      </rPr>
      <t>MQNVKEVSVKEMKQIIGG</t>
    </r>
    <r>
      <rPr>
        <sz val="10"/>
        <color theme="1"/>
        <rFont val="Times New Roman"/>
        <family val="1"/>
      </rPr>
      <t>SNDSLWYGVGQFMGKQANCITNHPVKHMIIPGYCLSKILG</t>
    </r>
  </si>
  <si>
    <t>MQNVKEVSVKEMKQIIGG</t>
  </si>
  <si>
    <t>SNDSLWYGVGQFMGKQANCITNHPVKHMIIPGYCLSKILG</t>
  </si>
  <si>
    <t>KU-B5</t>
  </si>
  <si>
    <t>AB430879</t>
  </si>
  <si>
    <t>10.1128/AEM.02264-09</t>
  </si>
  <si>
    <t>D7UP03</t>
  </si>
  <si>
    <t>Enterocin X, a novel two-peptide bacteriocin from Enterococcus faecium KU-B5, has an antibacterial spectrum entirely different from those of its component peptides</t>
  </si>
  <si>
    <t>Bac_091</t>
  </si>
  <si>
    <t>EntXβ</t>
  </si>
  <si>
    <r>
      <rPr>
        <sz val="10"/>
        <color theme="0" tint="-0.499984740745262"/>
        <rFont val="Times New Roman"/>
        <family val="1"/>
      </rPr>
      <t>MKKYNELSKKELLQIQGG</t>
    </r>
    <r>
      <rPr>
        <sz val="10"/>
        <color theme="1"/>
        <rFont val="Times New Roman"/>
        <family val="1"/>
      </rPr>
      <t>IAPIIVAGLGYLVKDAWDHSDQIISGFKKGWNGGRRK</t>
    </r>
  </si>
  <si>
    <t>MKKYNELSKKELLQIQGG</t>
  </si>
  <si>
    <t>IAPIIVAGLGYLVKDAWDHSDQIISGFKKGWNGGRRK</t>
  </si>
  <si>
    <t>Bac_092</t>
  </si>
  <si>
    <t>Enterocin 1071</t>
  </si>
  <si>
    <t>1071A</t>
  </si>
  <si>
    <r>
      <rPr>
        <sz val="10"/>
        <color theme="0" tint="-0.34998626667073579"/>
        <rFont val="Times New Roman"/>
        <family val="1"/>
      </rPr>
      <t>MKQYKVLNEKEMKKTIGG</t>
    </r>
    <r>
      <rPr>
        <sz val="10"/>
        <color theme="1"/>
        <rFont val="Times New Roman"/>
        <family val="1"/>
      </rPr>
      <t>ESVFSKIGNAVGPAAYWILKGLGNMSDVNQADRINRKKH</t>
    </r>
  </si>
  <si>
    <t>MKQYKVLNEKEMKKTIGG</t>
  </si>
  <si>
    <t>ESVFSKIGNAVGPAAYWILKGLGNMSDVNQADRINRKKH</t>
  </si>
  <si>
    <t>FAIR-E 309</t>
  </si>
  <si>
    <t>AF164559</t>
  </si>
  <si>
    <t>10.1128/AEM.66.4.1298-1304.2000; 10.1128/AEM.68.5.2550-2554.2002</t>
  </si>
  <si>
    <t>Biochemical and genetic characterization of the two-peptide bacteriocin enterocin 1071 produced by Enterococcus faecalis FAIR-E 309</t>
  </si>
  <si>
    <t>Bac_093</t>
  </si>
  <si>
    <t>1071B</t>
  </si>
  <si>
    <r>
      <rPr>
        <sz val="10"/>
        <color theme="0" tint="-0.34998626667073579"/>
        <rFont val="Times New Roman"/>
        <family val="1"/>
      </rPr>
      <t>MKNIKNASNIKVIEDNELKAITGG</t>
    </r>
    <r>
      <rPr>
        <sz val="10"/>
        <color theme="1"/>
        <rFont val="Times New Roman"/>
        <family val="1"/>
      </rPr>
      <t>GPGKWLPWLQPAYDFVTGLAKGIGKEGNKNKWKNV</t>
    </r>
  </si>
  <si>
    <t>MKNIKNASNIKVIEDNELKAITGG</t>
  </si>
  <si>
    <t>GPGKWLPWLQPAYDFVTGLAKGIGKEGNKNKWKNV</t>
  </si>
  <si>
    <t>Bac_094</t>
  </si>
  <si>
    <t>Enterocin C</t>
  </si>
  <si>
    <t>EntC1</t>
    <phoneticPr fontId="5" type="noConversion"/>
  </si>
  <si>
    <r>
      <rPr>
        <sz val="10"/>
        <color theme="6"/>
        <rFont val="Times New Roman"/>
        <family val="1"/>
      </rPr>
      <t>MKQYKVLNEKEMKKPIGG</t>
    </r>
    <r>
      <rPr>
        <sz val="10"/>
        <color theme="1"/>
        <rFont val="Times New Roman"/>
        <family val="1"/>
      </rPr>
      <t>ESVFSKIGNAVGPAAYWILKGLGNMSDVNQADRINRKKH</t>
    </r>
  </si>
  <si>
    <t>MKQYKVLNEKEMKKPIGG</t>
  </si>
  <si>
    <t>Enterococcus faecalis</t>
    <phoneticPr fontId="5" type="noConversion"/>
  </si>
  <si>
    <t>C901</t>
  </si>
  <si>
    <t>EU862242</t>
  </si>
  <si>
    <t>10.1016/j.ijfoodmicro.2009.05.008</t>
  </si>
  <si>
    <t>Enterocin C, a class IIb bacteriocin produced by E. faecalis C901, a strain isolated from human colostrum</t>
  </si>
  <si>
    <t>Bac_095</t>
  </si>
  <si>
    <t>EntC2</t>
    <phoneticPr fontId="5" type="noConversion"/>
  </si>
  <si>
    <r>
      <rPr>
        <sz val="10"/>
        <color theme="6"/>
        <rFont val="Times New Roman"/>
        <family val="1"/>
      </rPr>
      <t>MKNIKNASNIKVIEDNELKAITGG</t>
    </r>
    <r>
      <rPr>
        <sz val="10"/>
        <color theme="1"/>
        <rFont val="Times New Roman"/>
        <family val="1"/>
      </rPr>
      <t>GPGKWLPWLQPAYDFVAGLAKGIGKEGNKNKWKNV</t>
    </r>
  </si>
  <si>
    <t>GPGKWLPWLQPAYDFVAGLAKGIGKEGNKNKWKNV</t>
  </si>
  <si>
    <t>Bac_096</t>
  </si>
  <si>
    <t>Gassericin S</t>
  </si>
  <si>
    <t>GasA</t>
  </si>
  <si>
    <r>
      <rPr>
        <sz val="10"/>
        <color theme="0" tint="-0.34998626667073579"/>
        <rFont val="Times New Roman"/>
        <family val="1"/>
      </rPr>
      <t>MKVLNECQLQTVVGG</t>
    </r>
    <r>
      <rPr>
        <sz val="10"/>
        <color theme="1"/>
        <rFont val="Times New Roman"/>
        <family val="1"/>
      </rPr>
      <t>KNWSVAKCGGTIGTNIAIGAWRGARAGSFFGQPVSVGAGALIGASAGAIGGSVQCVGWLAGGGR</t>
    </r>
  </si>
  <si>
    <t>MKVLNECQLQTVVGG</t>
  </si>
  <si>
    <t>KNWSVAKCGGTIGTNIAIGAWRGARAGSFFGQPVSVGAGALIGASAGAIGGSVQCVGWLAGGGR</t>
  </si>
  <si>
    <t>LA327</t>
  </si>
  <si>
    <t>LC389591</t>
  </si>
  <si>
    <t>10.1128/AEM.02815-18</t>
  </si>
  <si>
    <t>Homologous Expression and Characterization of Gassericin T and Gassericin S, a Novel Class IIb Bacteriocin Produced by Lactobacillus gasseri LA327</t>
  </si>
  <si>
    <t>Bac_097</t>
  </si>
  <si>
    <t>GasX</t>
  </si>
  <si>
    <r>
      <rPr>
        <sz val="10"/>
        <color theme="0" tint="-0.34998626667073579"/>
        <rFont val="Times New Roman"/>
        <family val="1"/>
      </rPr>
      <t>MIEKVSKNELSRIYGG</t>
    </r>
    <r>
      <rPr>
        <sz val="10"/>
        <color theme="1"/>
        <rFont val="Times New Roman"/>
        <family val="1"/>
      </rPr>
      <t>NNVNWGSVAGSCGKGAVMGIYFGNPILGCANGAATSLVLQTTSGIYKNYQKKR</t>
    </r>
  </si>
  <si>
    <t>NNVNWGSVAGSCGKGAVMGIYFGNPILGCANGAATSLVLQTTSGIYKNYQKKR</t>
  </si>
  <si>
    <t>Bac_098</t>
  </si>
  <si>
    <t>Gassericin T</t>
  </si>
  <si>
    <t>GatA</t>
  </si>
  <si>
    <r>
      <rPr>
        <sz val="10"/>
        <color theme="0" tint="-0.34998626667073579"/>
        <rFont val="Times New Roman"/>
        <family val="1"/>
      </rPr>
      <t>MKNFNTLSFETLANIVGG</t>
    </r>
    <r>
      <rPr>
        <sz val="10"/>
        <color theme="1"/>
        <rFont val="Times New Roman"/>
        <family val="1"/>
      </rPr>
      <t>RNNWAANIGGVGGATVAGWALGNAVCGPACGFVGAHYVPIAWAGVTAATGGFGKIRK</t>
    </r>
  </si>
  <si>
    <t>MKNFNTLSFETLANIVGG</t>
  </si>
  <si>
    <t>RNNWAANIGGVGGATVAGWALGNAVCGPACGFVGAHYVPIAWAGVTAATGGFGKIRK</t>
  </si>
  <si>
    <t>LC389592</t>
  </si>
  <si>
    <t>Bac_099</t>
  </si>
  <si>
    <t>GatX</t>
  </si>
  <si>
    <t>gassericin K7B GasK7B β</t>
  </si>
  <si>
    <r>
      <rPr>
        <sz val="10"/>
        <color theme="0" tint="-0.34998626667073579"/>
        <rFont val="Times New Roman"/>
        <family val="1"/>
      </rPr>
      <t>MALKTLEKHELRNVMGG</t>
    </r>
    <r>
      <rPr>
        <sz val="10"/>
        <color theme="1"/>
        <rFont val="Times New Roman"/>
        <family val="1"/>
      </rPr>
      <t>NKWGNAVIGAATGATRGVSWCRGFGPWGMTACGLGGAAIGGYLGYKSN</t>
    </r>
  </si>
  <si>
    <t>NKWGNAVIGAATGATRGVSWCRGFGPWGMTACGLGGAAIGGYLGYKSN</t>
  </si>
  <si>
    <t>Bac_100</t>
  </si>
  <si>
    <t>Sakacin T</t>
  </si>
  <si>
    <t>SakTα</t>
  </si>
  <si>
    <r>
      <rPr>
        <sz val="10"/>
        <color theme="6"/>
        <rFont val="Times New Roman"/>
        <family val="1"/>
      </rPr>
      <t>MKNVQSLSKEELVLVVGG</t>
    </r>
    <r>
      <rPr>
        <sz val="10"/>
        <color theme="1"/>
        <rFont val="Times New Roman"/>
        <family val="1"/>
      </rPr>
      <t>YTAKQCLQAIGSWGIAGTGAGAAGGPAGAFVGAHVGVIAGSAVCIGGFLGQ</t>
    </r>
  </si>
  <si>
    <t>MKNVQSLSKEELVLVVGG</t>
  </si>
  <si>
    <t>YTAKQCLQAIGSWGIAGTGAGAAGGPAGAFVGAHVGVIAGSAVCIGGFLGQ</t>
  </si>
  <si>
    <t>Bac_101</t>
  </si>
  <si>
    <t>SakTβ</t>
  </si>
  <si>
    <r>
      <rPr>
        <sz val="10"/>
        <color theme="6"/>
        <rFont val="Times New Roman"/>
        <family val="1"/>
      </rPr>
      <t>MKTANIKLLTNQEMIEIFGG</t>
    </r>
    <r>
      <rPr>
        <sz val="10"/>
        <color theme="1"/>
        <rFont val="Times New Roman"/>
        <family val="1"/>
      </rPr>
      <t>KTNWGSVVGSCVAGGLVGALGGTPISIGAGCLVGAGQDWISQK</t>
    </r>
  </si>
  <si>
    <t>MKTANIKLLTNQEMIEIFGG</t>
  </si>
  <si>
    <t>KTNWGSVVGSCVAGGLVGALGGTPISIGAGCLVGAGQDWISQK</t>
  </si>
  <si>
    <t>Bac_102</t>
  </si>
  <si>
    <t>Mutacin IV</t>
  </si>
  <si>
    <t>nlm A</t>
  </si>
  <si>
    <r>
      <rPr>
        <sz val="10"/>
        <color theme="0" tint="-0.34998626667073579"/>
        <rFont val="Times New Roman"/>
        <family val="1"/>
      </rPr>
      <t>MDTQAFEQFDVMDSQTLSTVEGG</t>
    </r>
    <r>
      <rPr>
        <sz val="10"/>
        <color theme="1"/>
        <rFont val="Times New Roman"/>
        <family val="1"/>
      </rPr>
      <t>KVSGGEAVAAIGICATASAAIGGLAGATLVTPYCVGTWGLIRSH</t>
    </r>
  </si>
  <si>
    <t>MDTQAFEQFDVMDSQTLSTVEGG</t>
  </si>
  <si>
    <t>KVSGGEAVAAIGICATASAAIGGLAGATLVTPYCVGTWGLIRSH</t>
  </si>
  <si>
    <t xml:space="preserve">Streptococcus mutans </t>
  </si>
  <si>
    <t>UA159</t>
  </si>
  <si>
    <t>10.1128/AEM.67.1.15-21.2001</t>
  </si>
  <si>
    <t>The group I strain of Streptococcus mutans, UA140, produces both the lantibiotic mutacin I and a nonlantibiotic bacteriocin, mutacin IV</t>
  </si>
  <si>
    <t>Bac_103</t>
  </si>
  <si>
    <t>nlm B</t>
  </si>
  <si>
    <r>
      <rPr>
        <sz val="10"/>
        <color theme="0" tint="-0.34998626667073579"/>
        <rFont val="Times New Roman"/>
        <family val="1"/>
      </rPr>
      <t>MELNVNNYKSLTNDELSEVFGG</t>
    </r>
    <r>
      <rPr>
        <sz val="10"/>
        <color theme="1"/>
        <rFont val="Times New Roman"/>
        <family val="1"/>
      </rPr>
      <t>DKQAADTFLSAVGGAASGFTYCASNGVWHPYILAGCAGVGAVGSVVFPH</t>
    </r>
  </si>
  <si>
    <t>MELNVNNYKSLTNDELSEVFGG</t>
  </si>
  <si>
    <t>DKQAADTFLSAVGGAASGFTYCASNGVWHPYILAGCAGVGAVGSVVFPH</t>
  </si>
  <si>
    <t>Bac_104</t>
  </si>
  <si>
    <t>Lactococcin G</t>
  </si>
  <si>
    <t>LcnGα</t>
  </si>
  <si>
    <r>
      <rPr>
        <sz val="10"/>
        <color theme="0" tint="-0.34998626667073579"/>
        <rFont val="Times New Roman"/>
        <family val="1"/>
      </rPr>
      <t>MKELSEKELRECVGG</t>
    </r>
    <r>
      <rPr>
        <sz val="10"/>
        <color theme="1"/>
        <rFont val="Times New Roman"/>
        <family val="1"/>
      </rPr>
      <t>GTWDDIGQGIGRVAYWVGKAMGNMSDVNQASRINRKKKH</t>
    </r>
  </si>
  <si>
    <t>MKELSEKELRECVGG</t>
  </si>
  <si>
    <t>GTWDDIGQGIGRVAYWVGKAMGNMSDVNQASRINRKKKH</t>
  </si>
  <si>
    <t>FJ938036</t>
  </si>
  <si>
    <t>10.1128/AEM.02600-09</t>
  </si>
  <si>
    <t xml:space="preserve">P36961 </t>
  </si>
  <si>
    <t>The lactococcin G immunity protein recognizes specific regions in both peptides constituting the two-peptide bacteriocin lactococcin G</t>
  </si>
  <si>
    <t>Bac_105</t>
  </si>
  <si>
    <t>LcnGβ</t>
  </si>
  <si>
    <r>
      <rPr>
        <sz val="10"/>
        <color theme="0" tint="-0.34998626667073579"/>
        <rFont val="Times New Roman"/>
        <family val="1"/>
      </rPr>
      <t>MKNNNNFFKGMEIIEDQELVSITGG</t>
    </r>
    <r>
      <rPr>
        <sz val="10"/>
        <color theme="1"/>
        <rFont val="Times New Roman"/>
        <family val="1"/>
      </rPr>
      <t>KKWGWLAWVDPAYEFIKGFGKGAIKEGNKDKWKNI</t>
    </r>
  </si>
  <si>
    <t>MKNNNNFFKGMEIIEDQELVSITGG</t>
  </si>
  <si>
    <t>KKWGWLAWVDPAYEFIKGFGKGAIKEGNKDKWKNI</t>
  </si>
  <si>
    <t xml:space="preserve">P36962 </t>
  </si>
  <si>
    <t>Bac_106</t>
  </si>
  <si>
    <t>Lactococcin Q</t>
  </si>
  <si>
    <t>LcnQα</t>
  </si>
  <si>
    <r>
      <rPr>
        <sz val="10"/>
        <color theme="0" tint="-0.34998626667073579"/>
        <rFont val="Times New Roman"/>
        <family val="1"/>
      </rPr>
      <t>MKELSEKELRECVGG</t>
    </r>
    <r>
      <rPr>
        <sz val="10"/>
        <color theme="1"/>
        <rFont val="Times New Roman"/>
        <family val="1"/>
      </rPr>
      <t>SIWGDIGQGVGKAAYWVGKAMGNMSDVNQASRINRKKKH</t>
    </r>
  </si>
  <si>
    <t>SIWGDIGQGVGKAAYWVGKAMGNMSDVNQASRINRKKKH</t>
  </si>
  <si>
    <t>QU4</t>
  </si>
  <si>
    <t>AB182406</t>
  </si>
  <si>
    <t>10.1128/AEM.72.5.3383-3389.2006</t>
  </si>
  <si>
    <t>Q1JV79</t>
  </si>
  <si>
    <t>Lactococcin Q, a novel two-peptide bacteriocin produced by Lactococcus lactis QU 4</t>
  </si>
  <si>
    <t>Bac_107</t>
  </si>
  <si>
    <t>LcnQβ</t>
  </si>
  <si>
    <r>
      <rPr>
        <sz val="10"/>
        <color theme="0" tint="-0.34998626667073579"/>
        <rFont val="Times New Roman"/>
        <family val="1"/>
      </rPr>
      <t>MKNNNNNFFKDMEIIEDQELVSITGG</t>
    </r>
    <r>
      <rPr>
        <sz val="10"/>
        <color theme="1"/>
        <rFont val="Times New Roman"/>
        <family val="1"/>
      </rPr>
      <t>KKWGWLAWVEPAGEFLKGFGKGAIKEGNKDKWKNI</t>
    </r>
  </si>
  <si>
    <t>MKNNNNNFFKDMEIIEDQELVSITGG</t>
  </si>
  <si>
    <t>KKWGWLAWVEPAGEFLKGFGKGAIKEGNKDKWKNI</t>
  </si>
  <si>
    <t>Q1JV78</t>
  </si>
  <si>
    <t>Bac_108</t>
  </si>
  <si>
    <t>Lactocin 705</t>
  </si>
  <si>
    <t>705α</t>
  </si>
  <si>
    <r>
      <rPr>
        <sz val="10"/>
        <color theme="0" tint="-0.34998626667073579"/>
        <rFont val="Times New Roman"/>
        <family val="1"/>
      </rPr>
      <t>MESNKLEKFANISNKDLNKITGG</t>
    </r>
    <r>
      <rPr>
        <sz val="10"/>
        <color theme="1"/>
        <rFont val="Times New Roman"/>
        <family val="1"/>
      </rPr>
      <t>GFWGGLGYIAGRVGAAYGHAQASANNHHSPING</t>
    </r>
  </si>
  <si>
    <t>MESNKLEKFANISNKDLNKITGG</t>
  </si>
  <si>
    <t>GFWGGLGYIAGRVGAAYGHAQASANNHHSPING</t>
  </si>
  <si>
    <t>Lactobacillus casei</t>
    <phoneticPr fontId="5" type="noConversion"/>
  </si>
  <si>
    <t>CRL 705</t>
  </si>
  <si>
    <t>AF200347</t>
  </si>
  <si>
    <t>10.1111/j.1574-6968.2000.tb09055.x</t>
  </si>
  <si>
    <t>Identification and nucleotide sequence of genes involved in the synthesis of lactocin 705, a two-peptide bacteriocin from Lactobacillus casei CRL 705</t>
  </si>
  <si>
    <t>Bac_109</t>
  </si>
  <si>
    <t>705β</t>
  </si>
  <si>
    <r>
      <rPr>
        <sz val="10"/>
        <color theme="0" tint="-0.34998626667073579"/>
        <rFont val="Times New Roman"/>
        <family val="1"/>
      </rPr>
      <t>MDNLNKFKKLSDNKLQATIGG</t>
    </r>
    <r>
      <rPr>
        <sz val="10"/>
        <color theme="1"/>
        <rFont val="Times New Roman"/>
        <family val="1"/>
      </rPr>
      <t>GMSGYIQGIPDFLKGYLHGISAANKHKKGRLGY</t>
    </r>
  </si>
  <si>
    <t>MDNLNKFKKLSDNKLQATIGG</t>
  </si>
  <si>
    <t>GMSGYIQGIPDFLKGYLHGISAANKHKKGRLGY</t>
  </si>
  <si>
    <t>Bac_110</t>
  </si>
  <si>
    <t>Plantaricin NC8</t>
  </si>
  <si>
    <t>PlnC8α</t>
  </si>
  <si>
    <r>
      <rPr>
        <sz val="10"/>
        <color theme="0" tint="-0.34998626667073579"/>
        <rFont val="Times New Roman"/>
        <family val="1"/>
      </rPr>
      <t>MDKFEKISTSNLEKISGG</t>
    </r>
    <r>
      <rPr>
        <sz val="10"/>
        <color theme="1"/>
        <rFont val="Times New Roman"/>
        <family val="1"/>
      </rPr>
      <t>DLTTKLWSSWGYYLGKKARWNLKHPYVQF</t>
    </r>
  </si>
  <si>
    <t>MDKFEKISTSNLEKISGG</t>
  </si>
  <si>
    <t>DLTTKLWSSWGYYLGKKARWNLKHPYVQF</t>
  </si>
  <si>
    <t>NC8</t>
  </si>
  <si>
    <t>AF522077</t>
  </si>
  <si>
    <t>10.1128/AEM.69.1.383-389.2003</t>
  </si>
  <si>
    <t>Q84HW0</t>
  </si>
  <si>
    <t>Purification and genetic characterization of plantaricin NC8, a novel coculture-inducible two-peptide bacteriocin from Lactobacillus plantarum NC8</t>
  </si>
  <si>
    <t>Bac_111</t>
  </si>
  <si>
    <t>PlnC8β</t>
  </si>
  <si>
    <r>
      <rPr>
        <sz val="10"/>
        <color theme="0" tint="-0.34998626667073579"/>
        <rFont val="Times New Roman"/>
        <family val="1"/>
      </rPr>
      <t>MNNLNKFSTLGKSSLSQIEGG</t>
    </r>
    <r>
      <rPr>
        <sz val="10"/>
        <color theme="1"/>
        <rFont val="Times New Roman"/>
        <family val="1"/>
      </rPr>
      <t>SVPTSVYTLGIKILWSAYKHRKTIEKSFNKGFYH</t>
    </r>
  </si>
  <si>
    <t>MNNLNKFSTLGKSSLSQIEGG</t>
  </si>
  <si>
    <t>SVPTSVYTLGIKILWSAYKHRKTIEKSFNKGFYH</t>
  </si>
  <si>
    <t>Q84HW1</t>
  </si>
  <si>
    <t>Bac_112</t>
  </si>
  <si>
    <t>plantaricin 1.25</t>
  </si>
  <si>
    <t>1.25α</t>
  </si>
  <si>
    <t>Brevicin 174A-β</t>
  </si>
  <si>
    <r>
      <rPr>
        <sz val="10"/>
        <color theme="6"/>
        <rFont val="Times New Roman"/>
        <family val="1"/>
      </rPr>
      <t>MEKFAVLSLSDLVDIQGG</t>
    </r>
    <r>
      <rPr>
        <sz val="10"/>
        <color theme="1"/>
        <rFont val="Times New Roman"/>
        <family val="1"/>
      </rPr>
      <t>KKKKKYTGPNYRCMVKSGGGLVSGAIGGSPFGVGGIVGGGMAGLVGGAISCLNNK</t>
    </r>
  </si>
  <si>
    <t>TMW1.25</t>
  </si>
  <si>
    <t>10.1046/j.1365-2672.1999.00792.x; 10.1016/s0167-4781(00)00003-8</t>
  </si>
  <si>
    <t>Purification and partial amino acid sequence of plantaricin 1.25 alpha and 1.25 beta, two bacteriocins produced by Lactobacillus plantarum TMW1.25</t>
  </si>
  <si>
    <t>Bac_113</t>
  </si>
  <si>
    <t>1.25β</t>
  </si>
  <si>
    <t>Brevicin 174A-γ</t>
  </si>
  <si>
    <r>
      <rPr>
        <sz val="10"/>
        <color theme="6"/>
        <rFont val="Times New Roman"/>
        <family val="1"/>
      </rPr>
      <t>MYKELTVDELALIDGG</t>
    </r>
    <r>
      <rPr>
        <sz val="10"/>
        <color theme="1"/>
        <rFont val="Times New Roman"/>
        <family val="1"/>
      </rPr>
      <t>KKKKKKVACTWGNAATAAASGAVKGILGGPTGALAGAIWGVSQCASNNLHGMH</t>
    </r>
  </si>
  <si>
    <t>Bac_114</t>
  </si>
  <si>
    <t>Plantaricin S</t>
  </si>
  <si>
    <t>Plsα</t>
  </si>
  <si>
    <r>
      <rPr>
        <sz val="10"/>
        <color theme="0" tint="-0.34998626667073579"/>
        <rFont val="Times New Roman"/>
        <family val="1"/>
      </rPr>
      <t>MNNALSFEQQFTDFSTLSDSELESVEGG</t>
    </r>
    <r>
      <rPr>
        <sz val="10"/>
        <color theme="1"/>
        <rFont val="Times New Roman"/>
        <family val="1"/>
      </rPr>
      <t>RNKLAYNMGHYAGKATIFGLAAWALLA</t>
    </r>
  </si>
  <si>
    <t>MNNALSFEQQFTDFSTLSDSELESVEGG</t>
  </si>
  <si>
    <t>RNKLAYNMGHYAGKATIFGLAAWALLA</t>
  </si>
  <si>
    <t>LPCO10</t>
  </si>
  <si>
    <t>Y15127</t>
  </si>
  <si>
    <t>10.1128/AEM.64.5.1871-1877.1998</t>
  </si>
  <si>
    <t>Molecular analysis of the locus responsible for production of plantaricin S, a two-peptide bacteriocin produced by Lactobacillus plantarum LPCO10</t>
  </si>
  <si>
    <t>Bac_115</t>
  </si>
  <si>
    <t>Plsβ</t>
  </si>
  <si>
    <r>
      <rPr>
        <sz val="10"/>
        <color theme="0" tint="-0.34998626667073579"/>
        <rFont val="Times New Roman"/>
        <family val="1"/>
      </rPr>
      <t>MDKIIKFQGISDDQLNAVIGG</t>
    </r>
    <r>
      <rPr>
        <sz val="10"/>
        <color theme="1"/>
        <rFont val="Times New Roman"/>
        <family val="1"/>
      </rPr>
      <t>KKKKQSWYAAAGDAIVSFGEGFLNAW</t>
    </r>
  </si>
  <si>
    <t>MDKIIKFQGISDDQLNAVIGG</t>
  </si>
  <si>
    <t>KKKKQSWYAAAGDAIVSFGEGFLNAW</t>
  </si>
  <si>
    <t>Bac_116</t>
  </si>
  <si>
    <t>Plantaricin EF</t>
  </si>
  <si>
    <t>PlnE</t>
  </si>
  <si>
    <r>
      <rPr>
        <sz val="10"/>
        <color theme="0" tint="-0.34998626667073579"/>
        <rFont val="Times New Roman"/>
        <family val="1"/>
      </rPr>
      <t>MLQFEKLQYSRLPQKKLAKISGG</t>
    </r>
    <r>
      <rPr>
        <sz val="10"/>
        <color theme="1"/>
        <rFont val="Times New Roman"/>
        <family val="1"/>
      </rPr>
      <t>FNRGGFNRGGYNFGKSVRHVVDAIGSVAGIRGILKSIR</t>
    </r>
  </si>
  <si>
    <t>MLQFEKLQYSRLPQKKLAKISGG</t>
  </si>
  <si>
    <t>FNRGGFNRGGYNFGKSVRHVVDAIGSVAGIRGILKSIR</t>
  </si>
  <si>
    <t>C11</t>
  </si>
  <si>
    <t>10.1021/acs.biochem.6b00588</t>
  </si>
  <si>
    <t>Structure-Function Analysis of the Two-Peptide Bacteriocin Plantaricin EF</t>
  </si>
  <si>
    <t>Bac_117</t>
  </si>
  <si>
    <t>PlnF</t>
  </si>
  <si>
    <r>
      <rPr>
        <sz val="10"/>
        <color theme="0" tint="-0.34998626667073579"/>
        <rFont val="Times New Roman"/>
        <family val="1"/>
      </rPr>
      <t>MKKFLVLRDRELNAISGG</t>
    </r>
    <r>
      <rPr>
        <sz val="10"/>
        <color theme="1"/>
        <rFont val="Times New Roman"/>
        <family val="1"/>
      </rPr>
      <t>VFHAYSARGVRNNYKSAVGPADWVISAVRGFIHG</t>
    </r>
  </si>
  <si>
    <t>MKKFLVLRDRELNAISGG</t>
  </si>
  <si>
    <t>VFHAYSARGVRNNYKSAVGPADWVISAVRGFIHG</t>
  </si>
  <si>
    <t>Bac_118</t>
  </si>
  <si>
    <t>Plantaricin JK</t>
  </si>
  <si>
    <t>PlnJ</t>
  </si>
  <si>
    <r>
      <rPr>
        <sz val="10"/>
        <color theme="0" tint="-0.34998626667073579"/>
        <rFont val="Times New Roman"/>
        <family val="1"/>
      </rPr>
      <t>MTVNKMIKDLDVVDAFAPISNNKLNGVVGG</t>
    </r>
    <r>
      <rPr>
        <sz val="10"/>
        <color theme="1"/>
        <rFont val="Times New Roman"/>
        <family val="1"/>
      </rPr>
      <t>GAWKNFWSSLRKGFYDGEAGRAIRR</t>
    </r>
  </si>
  <si>
    <t>MTVNKMIKDLDVVDAFAPISNNKLNGVVGG</t>
  </si>
  <si>
    <t>GAWKNFWSSLRKGFYDGEAGRAIRR</t>
  </si>
  <si>
    <t>X94434</t>
  </si>
  <si>
    <t>10.1128/jb.178.15.4472-4483.1996</t>
  </si>
  <si>
    <t>F9UTZ5 </t>
  </si>
  <si>
    <t>Characterization of the locus responsible for the bacteriocin production in Lactobacillus plantarum C11</t>
  </si>
  <si>
    <t>Bac_119</t>
  </si>
  <si>
    <t>PlnK</t>
  </si>
  <si>
    <r>
      <rPr>
        <sz val="10"/>
        <color theme="0" tint="-0.34998626667073579"/>
        <rFont val="Times New Roman"/>
        <family val="1"/>
      </rPr>
      <t>MKIKLTVLNEFEELTADAEKNISGG</t>
    </r>
    <r>
      <rPr>
        <sz val="10"/>
        <color theme="1"/>
        <rFont val="Times New Roman"/>
        <family val="1"/>
      </rPr>
      <t>RRSRKNGIGYAIGYAFGAVERAVLGGSRDYNK</t>
    </r>
  </si>
  <si>
    <t>MKIKLTVLNEFEELTADAEKNISGG</t>
  </si>
  <si>
    <t>RRSRKNGIGYAIGYAFGAVERAVLGGSRDYNK</t>
  </si>
  <si>
    <t>P71460</t>
  </si>
  <si>
    <t>Bac_120</t>
  </si>
  <si>
    <t>pluranimalicin 2N12</t>
  </si>
  <si>
    <t>Pluα</t>
  </si>
  <si>
    <r>
      <rPr>
        <sz val="10"/>
        <color theme="6"/>
        <rFont val="Times New Roman"/>
        <family val="1"/>
      </rPr>
      <t>MENIKTEFITLSEQEMLNINGG</t>
    </r>
    <r>
      <rPr>
        <sz val="10"/>
        <color theme="1"/>
        <rFont val="Times New Roman"/>
        <family val="1"/>
      </rPr>
      <t>VIPLAVWAIWGAAAGAGFAGGIAVGINKVNRGG</t>
    </r>
  </si>
  <si>
    <t>MENIKTEFITLSEQEMLNINGG</t>
  </si>
  <si>
    <t>VIPLAVWAIWGAAAGAGFAGGIAVGINKVNRGG</t>
  </si>
  <si>
    <t>Streptococcus pluranimalium</t>
  </si>
  <si>
    <t xml:space="preserve">2N12 </t>
  </si>
  <si>
    <t>10.1007/s12602-021-09887-0</t>
  </si>
  <si>
    <t>Identification and Characterization of a Two-Peptide Class IIb Bacteriocin in Streptococcus pluranimalium Isolated from the Nasal Cavity of a Healthy Pig</t>
  </si>
  <si>
    <t>Bac_121</t>
  </si>
  <si>
    <t>Pluβ</t>
  </si>
  <si>
    <r>
      <rPr>
        <sz val="10"/>
        <color theme="6"/>
        <rFont val="Times New Roman"/>
        <family val="1"/>
      </rPr>
      <t>MNNIKYENLNDYELEQINGG</t>
    </r>
    <r>
      <rPr>
        <sz val="10"/>
        <color theme="1"/>
        <rFont val="Times New Roman"/>
        <family val="1"/>
      </rPr>
      <t>IAPVLIGVGIVGSLTCGFALGYGLARAFG</t>
    </r>
  </si>
  <si>
    <t>MNNIKYENLNDYELEQINGG</t>
  </si>
  <si>
    <t>IAPVLIGVGIVGSLTCGFALGYGLARAFG</t>
  </si>
  <si>
    <t>Bac_122</t>
  </si>
  <si>
    <t>Salivaricin P</t>
  </si>
  <si>
    <t>SalPα</t>
  </si>
  <si>
    <t>salivaricin CRL1328  Salα, ABP-118α</t>
  </si>
  <si>
    <t>DPC6005</t>
  </si>
  <si>
    <t>10.1128/AEM.00666-06</t>
  </si>
  <si>
    <t>Salivaricin P, one of a family of two-component antilisterial bacteriocins produced by intestinal isolates of Lactobacillus salivarius</t>
  </si>
  <si>
    <t>Bac_123</t>
  </si>
  <si>
    <t>SalPβ</t>
  </si>
  <si>
    <r>
      <rPr>
        <sz val="10"/>
        <color theme="0" tint="-0.34998626667073579"/>
        <rFont val="Times New Roman"/>
        <family val="1"/>
      </rPr>
      <t>MKNLDKRFTIMTEDNLASVNGG</t>
    </r>
    <r>
      <rPr>
        <sz val="10"/>
        <color theme="1"/>
        <rFont val="Times New Roman"/>
        <family val="1"/>
      </rPr>
      <t>KNGYGGSGNRWVHCGAGIVGGALIGAIGGPWSAVAGGISGGFASCH</t>
    </r>
  </si>
  <si>
    <t>KNGYGGSGNRWVHCGAGIVGGALIGAIGGPWSAVAGGISGGFASCH</t>
  </si>
  <si>
    <t>Bac_124</t>
  </si>
  <si>
    <t>Thermophilin 13</t>
  </si>
  <si>
    <t>ThmA</t>
  </si>
  <si>
    <t>Thermophilin A</t>
  </si>
  <si>
    <r>
      <rPr>
        <sz val="10"/>
        <color theme="0" tint="-0.34998626667073579"/>
        <rFont val="Times New Roman"/>
        <family val="1"/>
      </rPr>
      <t>MNTITICKFDVLDAELLSTVEGG</t>
    </r>
    <r>
      <rPr>
        <sz val="10"/>
        <color theme="1"/>
        <rFont val="Times New Roman"/>
        <family val="1"/>
      </rPr>
      <t>YSGKDCLKDMGGYALAGAGSGALWGAPAGGVGALPGAFVGAHVGAIAGGFACMGGMIGNKFN</t>
    </r>
  </si>
  <si>
    <t>MNTITICKFDVLDAELLSTVEGG</t>
  </si>
  <si>
    <t>YSGKDCLKDMGGYALAGAGSGALWGAPAGGVGALPGAFVGAHVGAIAGGFACMGGMIGNKFN</t>
  </si>
  <si>
    <t>Streptococcus thermophiles</t>
  </si>
  <si>
    <t>SPi13</t>
  </si>
  <si>
    <t>U93029</t>
  </si>
  <si>
    <t>10.1074/jbc.272.22.14277</t>
  </si>
  <si>
    <t>Thermophilin 13, a nontypical antilisterial poration complex bacteriocin, that functions without a receptor</t>
  </si>
  <si>
    <t>Bac_125</t>
  </si>
  <si>
    <t>ThmB</t>
  </si>
  <si>
    <r>
      <rPr>
        <sz val="10"/>
        <color theme="0" tint="-0.34998626667073579"/>
        <rFont val="Times New Roman"/>
        <family val="1"/>
      </rPr>
      <t>MKQYNGFEVLHELDLANVTGG</t>
    </r>
    <r>
      <rPr>
        <sz val="10"/>
        <color theme="1"/>
        <rFont val="Times New Roman"/>
        <family val="1"/>
      </rPr>
      <t>QINWGSVVGHCIGGAIIGGAFSGGAAAGVGCLVGSGKAIINGL</t>
    </r>
  </si>
  <si>
    <t>MKQYNGFEVLHELDLANVTGG</t>
  </si>
  <si>
    <t>QINWGSVVGHCIGGAIIGGAFSGGAAAGVGCLVGSGKAIINGL</t>
  </si>
  <si>
    <t>Bac_126</t>
  </si>
  <si>
    <t>lactacin F</t>
  </si>
  <si>
    <t>LafA</t>
    <phoneticPr fontId="5" type="noConversion"/>
  </si>
  <si>
    <r>
      <rPr>
        <sz val="10"/>
        <color theme="0" tint="-0.34998626667073579"/>
        <rFont val="Times New Roman"/>
        <family val="1"/>
      </rPr>
      <t>MKQFNYLSHKDLAVVVGG</t>
    </r>
    <r>
      <rPr>
        <sz val="10"/>
        <color theme="1"/>
        <rFont val="Times New Roman"/>
        <family val="1"/>
      </rPr>
      <t>RNNWQTNVGGAVGSAMIGATVGGTICGPACAVAGAHYLPILWTAVTAATGGFGKIRK</t>
    </r>
  </si>
  <si>
    <t>MKQFNYLSHKDLAVVVGG</t>
  </si>
  <si>
    <t>RNNWQTNVGGAVGSAMIGATVGGTICGPACAVAGAHYLPILWTAVTAATGGFGKIRK</t>
  </si>
  <si>
    <t>Lactobacillus johnsonii</t>
    <phoneticPr fontId="5" type="noConversion"/>
  </si>
  <si>
    <t>10.1128/aem.57.1.114-121.1991</t>
  </si>
  <si>
    <t>P24022</t>
  </si>
  <si>
    <t>Purification and partial characterization of lactacin F, a bacteriocin produced by Lactobacillus acidophilus 11088</t>
  </si>
  <si>
    <t>Bac_127</t>
  </si>
  <si>
    <t>LafX</t>
    <phoneticPr fontId="5" type="noConversion"/>
  </si>
  <si>
    <r>
      <rPr>
        <sz val="10"/>
        <color theme="0" tint="-0.34998626667073579"/>
        <rFont val="Times New Roman"/>
        <family val="1"/>
      </rPr>
      <t>MKLNDKELSKIVGG</t>
    </r>
    <r>
      <rPr>
        <sz val="10"/>
        <color theme="1"/>
        <rFont val="Times New Roman"/>
        <family val="1"/>
      </rPr>
      <t>NRWGDTVLSAASGAGTGIKACKSFGPWGMAICGVGGAAIGGYFGYTHN</t>
    </r>
  </si>
  <si>
    <t>MKLNDKELSKIVGG</t>
  </si>
  <si>
    <t>NRWGDTVLSAASGAGTGIKACKSFGPWGMAICGVGGAAIGGYFGYTHN</t>
  </si>
  <si>
    <t>Q48509 </t>
  </si>
  <si>
    <t>Bac_128</t>
  </si>
  <si>
    <t>Brochocin C</t>
  </si>
  <si>
    <t>BrcA</t>
    <phoneticPr fontId="5" type="noConversion"/>
  </si>
  <si>
    <r>
      <rPr>
        <sz val="10"/>
        <color theme="6"/>
        <rFont val="Times New Roman"/>
        <family val="1"/>
      </rPr>
      <t>MHKVKKLNNQELQQIVGG</t>
    </r>
    <r>
      <rPr>
        <sz val="10"/>
        <color theme="1"/>
        <rFont val="Times New Roman"/>
        <family val="1"/>
      </rPr>
      <t>YSSKDCLKDIGKGIGAGTVAGAAGGGLAAGLGAIPGAFVGAHFGVIGGSAACIGGLLGN</t>
    </r>
  </si>
  <si>
    <t>MHKVKKLNNQELQQIVGG</t>
  </si>
  <si>
    <t>YSSKDCLKDIGKGIGAGTVAGAAGGGLAAGLGAIPGAFVGAHFGVIGGSAACIGGLLGN</t>
  </si>
  <si>
    <t>Brochothrix campestris</t>
    <phoneticPr fontId="5" type="noConversion"/>
  </si>
  <si>
    <t>ATCC 43754</t>
  </si>
  <si>
    <t>AF075600</t>
  </si>
  <si>
    <t>10.1128/AEM.64.12.4757-4766.1998</t>
  </si>
  <si>
    <t>Genetic characterization and heterologous expression of brochocin-C, an antibotulinal, two-peptide bacteriocin produced by Brochothrix campestris ATCC 43754</t>
  </si>
  <si>
    <t>Bac_129</t>
  </si>
  <si>
    <t>BrcB</t>
    <phoneticPr fontId="5" type="noConversion"/>
  </si>
  <si>
    <r>
      <rPr>
        <sz val="10"/>
        <color theme="6"/>
        <rFont val="Times New Roman"/>
        <family val="1"/>
      </rPr>
      <t>MKKELLNKNEMSRIIGG</t>
    </r>
    <r>
      <rPr>
        <sz val="10"/>
        <color theme="1"/>
        <rFont val="Times New Roman"/>
        <family val="1"/>
      </rPr>
      <t>KINWGNVGGSCVGGAVIGGALGGLGGAGGGCITGAIGSIWDQW</t>
    </r>
  </si>
  <si>
    <t>MKKELLNKNEMSRIIGG</t>
  </si>
  <si>
    <t>KINWGNVGGSCVGGAVIGGALGGLGGAGGGCITGAIGSIWDQW</t>
  </si>
  <si>
    <t>Bac_130</t>
  </si>
  <si>
    <t>Spb</t>
  </si>
  <si>
    <t>SpbM</t>
  </si>
  <si>
    <r>
      <rPr>
        <sz val="10"/>
        <color theme="6"/>
        <rFont val="Times New Roman"/>
        <family val="1"/>
      </rPr>
      <t>MEIKKLETFHQMTIEKLAKVEGG</t>
    </r>
    <r>
      <rPr>
        <sz val="10"/>
        <color theme="1"/>
        <rFont val="Times New Roman"/>
        <family val="1"/>
      </rPr>
      <t>KNNWQANVSGVIAAGSAGAAIGFPVCGVACGYIGAKTAITLWAGVTGATGGF</t>
    </r>
  </si>
  <si>
    <t>MEIKKLETFHQMTIEKLAKVEGG</t>
  </si>
  <si>
    <t>KNNWQANVSGVIAAGSAGAAIGFPVCGVACGYIGAKTAITLWAGVTGATGGF</t>
  </si>
  <si>
    <t>Streptococcus pyogenes</t>
  </si>
  <si>
    <t>MGAS8232</t>
  </si>
  <si>
    <t>10.1038/srep36233</t>
  </si>
  <si>
    <t>Identification of a two-component Class IIb bacteriocin in Streptococcus pyogenes by recombinase-based in vivo expression technology</t>
  </si>
  <si>
    <t>Bac_131</t>
  </si>
  <si>
    <t>SpbN</t>
  </si>
  <si>
    <r>
      <rPr>
        <sz val="10"/>
        <color theme="6"/>
        <rFont val="Times New Roman"/>
        <family val="1"/>
      </rPr>
      <t>MTTMKELTINDMASISGG</t>
    </r>
    <r>
      <rPr>
        <sz val="10"/>
        <color theme="1"/>
        <rFont val="Times New Roman"/>
        <family val="1"/>
      </rPr>
      <t>NAPGDAVIGGLGGLASGLKFCKLPHPVLAGGCVVGFTVGGAYLGYTAN</t>
    </r>
  </si>
  <si>
    <t>MTTMKELTINDMASISGG</t>
  </si>
  <si>
    <t>NAPGDAVIGGLGGLASGLKFCKLPHPVLAGGCVVGFTVGGAYLGYTAN</t>
  </si>
  <si>
    <t>Bac_132</t>
  </si>
  <si>
    <t>Blp</t>
  </si>
  <si>
    <t>BlpM</t>
  </si>
  <si>
    <r>
      <rPr>
        <sz val="10"/>
        <color theme="6"/>
        <rFont val="Times New Roman"/>
        <family val="1"/>
      </rPr>
      <t>MDTKIMEQFHEMDITMLSSIEGG</t>
    </r>
    <r>
      <rPr>
        <sz val="10"/>
        <color theme="1"/>
        <rFont val="Times New Roman"/>
        <family val="1"/>
      </rPr>
      <t>KNNWQTNVLEGGAAFGGWGLGTAICAASGVGAPFMGACGYIGAKFGVDLWAGVTGATGGF</t>
    </r>
  </si>
  <si>
    <t>MDTKIMEQFHEMDITMLSSIEGG</t>
  </si>
  <si>
    <t>KNNWQTNVLEGGAAFGGWGLGTAICAASGVGAPFMGACGYIGAKFGVDLWAGVTGATGGF</t>
  </si>
  <si>
    <t>Streptococcus pneumoniae</t>
  </si>
  <si>
    <t>TIGR4</t>
  </si>
  <si>
    <t>10.1128/IAI.01775-05</t>
  </si>
  <si>
    <t>The blp bacteriocins of Streptococcus pneumoniae mediate intraspecies competition both in vitro and in vivo</t>
  </si>
  <si>
    <t>Bac_133</t>
  </si>
  <si>
    <t>BlpN</t>
  </si>
  <si>
    <r>
      <rPr>
        <sz val="10"/>
        <color theme="6"/>
        <rFont val="Times New Roman"/>
        <family val="1"/>
      </rPr>
      <t>MNTYCNINETMLSEVYGG</t>
    </r>
    <r>
      <rPr>
        <sz val="10"/>
        <color theme="1"/>
        <rFont val="Times New Roman"/>
        <family val="1"/>
      </rPr>
      <t>NSGGAAVVAALGCAAGGVKYGRLLGPWGAAIGGIGGAVVCGYLAYTATS</t>
    </r>
  </si>
  <si>
    <t>MNTYCNINETMLSEVYGG</t>
  </si>
  <si>
    <t>NSGGAAVVAALGCAAGGVKYGRLLGPWGAAIGGIGGAVVCGYLAYTATS</t>
  </si>
  <si>
    <t>Bac_134</t>
  </si>
  <si>
    <r>
      <rPr>
        <sz val="10"/>
        <color theme="6"/>
        <rFont val="Times New Roman"/>
        <family val="1"/>
      </rPr>
      <t>MNTKMMEQFHEMDIAMLSSIEGG</t>
    </r>
    <r>
      <rPr>
        <sz val="10"/>
        <color theme="1"/>
        <rFont val="Times New Roman"/>
        <family val="1"/>
      </rPr>
      <t>KNNWQTNVFEGGSAAFGGWGLGTAICAASGVGAPFMGACGYIGAKFGVALWAGVTGATGGF</t>
    </r>
  </si>
  <si>
    <t>MNTKMMEQFHEMDIAMLSSIEGG</t>
  </si>
  <si>
    <t>KNNWQTNVFEGGSAAFGGWGLGTAICAASGVGAPFMGACGYIGAKFGVALWAGVTGATGGF</t>
  </si>
  <si>
    <t>Bac_135</t>
  </si>
  <si>
    <r>
      <rPr>
        <sz val="10"/>
        <color theme="6"/>
        <rFont val="Times New Roman"/>
        <family val="1"/>
      </rPr>
      <t>MNTYCNINETMLSEVYGG</t>
    </r>
    <r>
      <rPr>
        <sz val="10"/>
        <color theme="1"/>
        <rFont val="Times New Roman"/>
        <family val="1"/>
      </rPr>
      <t>NSGGAAVVAALGCAAGGVKYGKILGPWGAAIGGIGGAVVCGYLAYTATS</t>
    </r>
  </si>
  <si>
    <t>NSGGAAVVAALGCAAGGVKYGKILGPWGAAIGGIGGAVVCGYLAYTATS</t>
  </si>
  <si>
    <t>Bac_136</t>
  </si>
  <si>
    <t>Enterocin</t>
  </si>
  <si>
    <t>NKR-5-3A</t>
  </si>
  <si>
    <r>
      <rPr>
        <sz val="10"/>
        <color theme="6"/>
        <rFont val="Times New Roman"/>
        <family val="1"/>
      </rPr>
      <t>MQKFQKLNEQEMKQLMGG</t>
    </r>
    <r>
      <rPr>
        <sz val="10"/>
        <color theme="1"/>
        <rFont val="Times New Roman"/>
        <family val="1"/>
      </rPr>
      <t>YSSKDCLKDIGKGIGAGTVAGAAGGGLAAGLGAIPGAFVGAHFGVIGGSAACIGGLLGN</t>
    </r>
  </si>
  <si>
    <t>MQKFQKLNEQEMKQLMGG</t>
  </si>
  <si>
    <t>AB627130</t>
  </si>
  <si>
    <t>10.1271/bbb.110972</t>
  </si>
  <si>
    <t>Purification and characterization of multiple bacteriocins and an inducing peptide produced by Enterococcus faecium NKR-5-3 from Thai fermented fish</t>
  </si>
  <si>
    <t>Bac_137</t>
  </si>
  <si>
    <t>NKR-5-3Z</t>
  </si>
  <si>
    <r>
      <rPr>
        <sz val="10"/>
        <color theme="6"/>
        <rFont val="Times New Roman"/>
        <family val="1"/>
      </rPr>
      <t>MKKEILNQEEMLKVIGG</t>
    </r>
    <r>
      <rPr>
        <sz val="10"/>
        <color theme="1"/>
        <rFont val="Times New Roman"/>
        <family val="1"/>
      </rPr>
      <t>KINWGSVGGSCVGGAVIGGALGGLGGAGGGCLTGAIGSIWDQW</t>
    </r>
  </si>
  <si>
    <t>MKKEILNQEEMLKVIGG</t>
  </si>
  <si>
    <t>KINWGSVGGSCVGGAVIGGALGGLGGAGGGCLTGAIGSIWDQW</t>
  </si>
  <si>
    <t>Bac_138</t>
  </si>
  <si>
    <t>Gallocin A</t>
  </si>
  <si>
    <t>GllA1</t>
  </si>
  <si>
    <t>IIb</t>
  </si>
  <si>
    <r>
      <rPr>
        <sz val="10"/>
        <color theme="0" tint="-0.499984740745262"/>
        <rFont val="Times New Roman"/>
        <family val="1"/>
      </rPr>
      <t>MSLNKFTNFQELDKNHLQTISGG</t>
    </r>
    <r>
      <rPr>
        <sz val="10"/>
        <color theme="1"/>
        <rFont val="Times New Roman"/>
        <family val="1"/>
      </rPr>
      <t>KGNMGSAIGGCIGGVLLAAATGPITGGGAAMICVASGISAYL</t>
    </r>
  </si>
  <si>
    <t>MSLNKFTNFQELDKNHLQTISGG</t>
  </si>
  <si>
    <t>KGNMGSAIGGCIGGVLLAAATGPITGGGAAMICVASGISAYL</t>
  </si>
  <si>
    <r>
      <rPr>
        <i/>
        <sz val="10"/>
        <color theme="1"/>
        <rFont val="Times New Roman"/>
        <family val="1"/>
      </rPr>
      <t>Streptococcus gallolyticus</t>
    </r>
    <r>
      <rPr>
        <sz val="10"/>
        <color theme="1"/>
        <rFont val="Times New Roman"/>
        <family val="1"/>
      </rPr>
      <t xml:space="preserve"> subsp. </t>
    </r>
    <r>
      <rPr>
        <i/>
        <sz val="10"/>
        <color theme="1"/>
        <rFont val="Times New Roman"/>
        <family val="1"/>
      </rPr>
      <t>gallolyticus</t>
    </r>
  </si>
  <si>
    <t>UCN34</t>
  </si>
  <si>
    <t>10.1128/spectrum.05085-22</t>
  </si>
  <si>
    <t>Gallocin A, an Atypical Two-Peptide Bacteriocin with Intramolecular Disulfide Bonds Required for Activity</t>
  </si>
  <si>
    <t>Bac_139</t>
  </si>
  <si>
    <t>GllA2</t>
  </si>
  <si>
    <r>
      <rPr>
        <sz val="10"/>
        <color theme="0" tint="-0.499984740745262"/>
        <rFont val="Times New Roman"/>
        <family val="1"/>
      </rPr>
      <t>MNTKTFEQFDVMTDEALSKVEGG</t>
    </r>
    <r>
      <rPr>
        <sz val="10"/>
        <color theme="1"/>
        <rFont val="Times New Roman"/>
        <family val="1"/>
      </rPr>
      <t>YSKTDCLNAMITGIAGGIVAGGTGAGLVTLGVAGLPGAFVGAHIGAIGGGATCVGGMLFN</t>
    </r>
  </si>
  <si>
    <t>MNTKTFEQFDVMTDEALSKVEGG</t>
  </si>
  <si>
    <t>YSKTDCLNAMITGIAGGIVAGGTGAGLVTLGVAGLPGAFVGAHIGAIGGGATCVGGMLFN</t>
  </si>
  <si>
    <t>Bac_140</t>
  </si>
  <si>
    <t>salivaricin CRL1328</t>
  </si>
  <si>
    <t xml:space="preserve"> Salα</t>
  </si>
  <si>
    <t>ABP-118α, Salivaricin P SalPα</t>
  </si>
  <si>
    <r>
      <rPr>
        <sz val="10"/>
        <color theme="6"/>
        <rFont val="Times New Roman"/>
        <family val="1"/>
      </rPr>
      <t>MMKEFTVLTECELAKVDGG</t>
    </r>
    <r>
      <rPr>
        <sz val="10"/>
        <color theme="1"/>
        <rFont val="Times New Roman"/>
        <family val="1"/>
      </rPr>
      <t>KRGPNCVGNFLGGLFAGAAAGVPLGPAGIVGGANLGMVGGALTCL</t>
    </r>
  </si>
  <si>
    <t>CRL 1328</t>
  </si>
  <si>
    <t>EF592482.1</t>
  </si>
  <si>
    <t>10.1016/j.resmic.2009.06.009</t>
  </si>
  <si>
    <t>Characterization of salivaricin CRL 1328, a two-peptide bacteriocin produced by Lactobacillus salivarius CRL 1328 isolated from the human vagina</t>
  </si>
  <si>
    <t>Bac_141</t>
  </si>
  <si>
    <t xml:space="preserve"> Salβ</t>
  </si>
  <si>
    <t>ABP-118β</t>
  </si>
  <si>
    <r>
      <rPr>
        <sz val="10"/>
        <color theme="6"/>
        <rFont val="Times New Roman"/>
        <family val="1"/>
      </rPr>
      <t>MKNLDKRFTIMTEDNLASVNGG</t>
    </r>
    <r>
      <rPr>
        <sz val="10"/>
        <color theme="1"/>
        <rFont val="Times New Roman"/>
        <family val="1"/>
      </rPr>
      <t>KNGYGGSGNRWVHCGAGIVGGALIGAIGGPWSAVAGGISGGFTSCR</t>
    </r>
  </si>
  <si>
    <t>Bac_142</t>
  </si>
  <si>
    <t>Acidicin P</t>
  </si>
  <si>
    <t>Adpα</t>
  </si>
  <si>
    <r>
      <rPr>
        <sz val="10"/>
        <color theme="6"/>
        <rFont val="Times New Roman"/>
        <family val="1"/>
      </rPr>
      <t>MNNNLKILNEFEHLEDNKLTLVTGG</t>
    </r>
    <r>
      <rPr>
        <sz val="10"/>
        <color theme="1"/>
        <rFont val="Times New Roman"/>
        <family val="1"/>
      </rPr>
      <t>RNKMAYNVGKAISRIMRRVR</t>
    </r>
  </si>
  <si>
    <t>MNNNLKILNEFEHLEDNKLTLVTGG</t>
  </si>
  <si>
    <t>RNKMAYNVGKAISRIMRRVR</t>
  </si>
  <si>
    <t>LAC 5-17</t>
  </si>
  <si>
    <t>10.1128/spectrum.05210-22</t>
  </si>
  <si>
    <t>A Novel Two-Component Bacteriocin, Acidicin P, and Its Key Residues for Inhibiting Listeria monocytogenes by Targeting the Cell Membrane</t>
  </si>
  <si>
    <t>Bac_143</t>
  </si>
  <si>
    <t>Adpβ</t>
  </si>
  <si>
    <r>
      <rPr>
        <sz val="10"/>
        <color theme="6"/>
        <rFont val="Times New Roman"/>
        <family val="1"/>
      </rPr>
      <t>MDKKLILDKFEDLDTAALSSVVGG</t>
    </r>
    <r>
      <rPr>
        <sz val="10"/>
        <color theme="1"/>
        <rFont val="Times New Roman"/>
        <family val="1"/>
      </rPr>
      <t>KKKRGFWYHVGDAVTSFGRGFASAFG</t>
    </r>
  </si>
  <si>
    <t>MDKKLILDKFEDLDTAALSSVVGG</t>
  </si>
  <si>
    <t>KKKRGFWYHVGDAVTSFGRGFASAFG</t>
  </si>
  <si>
    <t>Bac_144</t>
  </si>
  <si>
    <t>gassericin K7A</t>
  </si>
  <si>
    <t>GasK7A α</t>
  </si>
  <si>
    <r>
      <rPr>
        <sz val="10"/>
        <color theme="0" tint="-0.499984740745262"/>
        <rFont val="Times New Roman"/>
        <family val="1"/>
      </rPr>
      <t>MKVLNECQLQTVVGG</t>
    </r>
    <r>
      <rPr>
        <sz val="10"/>
        <color theme="1"/>
        <rFont val="Times New Roman"/>
        <family val="1"/>
      </rPr>
      <t>KNWSVAKCGGTIGTNIAIGAWRGARAGSFFGQPVSVGTGALIGASAGAIGGSVQCVGWLAGGGR</t>
    </r>
  </si>
  <si>
    <t>KNWSVAKCGGTIGTNIAIGAWRGARAGSFFGQPVSVGTGALIGASAGAIGGSVQCVGWLAGGGR</t>
  </si>
  <si>
    <t>Lactobacillus paragasseri</t>
  </si>
  <si>
    <t>K7</t>
  </si>
  <si>
    <t>EF392861.1</t>
  </si>
  <si>
    <t>10.1128/AEM.01594-20</t>
  </si>
  <si>
    <t>Novel Selective Inhibition of Lactobacillus iners by Lactobacillus-Derived Bacteriocins</t>
  </si>
  <si>
    <t>Bac_145</t>
  </si>
  <si>
    <t>GasK7A β</t>
  </si>
  <si>
    <r>
      <rPr>
        <sz val="10"/>
        <color theme="0" tint="-0.499984740745262"/>
        <rFont val="Times New Roman"/>
        <family val="1"/>
      </rPr>
      <t>MIEKVSKNELSRIYGG</t>
    </r>
    <r>
      <rPr>
        <sz val="10"/>
        <color theme="1"/>
        <rFont val="Times New Roman"/>
        <family val="1"/>
      </rPr>
      <t>NNVNWGSVAGSCGKGAVMEIYFGNPILGCANGAATSLVLQTASGIYKNYQKKR</t>
    </r>
  </si>
  <si>
    <t>Bac_146</t>
  </si>
  <si>
    <t>gassericin K7B</t>
  </si>
  <si>
    <t>GasK7B α</t>
  </si>
  <si>
    <r>
      <rPr>
        <sz val="10"/>
        <color theme="0" tint="-0.499984740745262"/>
        <rFont val="Times New Roman"/>
        <family val="1"/>
      </rPr>
      <t>MKNFNTLSFETLANIVGG</t>
    </r>
    <r>
      <rPr>
        <sz val="10"/>
        <color theme="1"/>
        <rFont val="Times New Roman"/>
        <family val="1"/>
      </rPr>
      <t>RNNWAANIGGAGGATVAGWALGNAVCGPACGFVGAHYVPIAWAGVTAATGGFGKIRK</t>
    </r>
  </si>
  <si>
    <t>RNNWAANIGGAGGATVAGWALGNAVCGPACGFVGAHYVPIAWAGVTAATGGFGKIRK</t>
  </si>
  <si>
    <t>AY307382.1</t>
  </si>
  <si>
    <t>Bac_147</t>
  </si>
  <si>
    <t>GasK7B β</t>
  </si>
  <si>
    <t>Gassericin T GatX</t>
  </si>
  <si>
    <r>
      <rPr>
        <sz val="10"/>
        <color theme="0" tint="-0.499984740745262"/>
        <rFont val="Times New Roman"/>
        <family val="1"/>
      </rPr>
      <t>MALKTLEKHELRNVMGG</t>
    </r>
    <r>
      <rPr>
        <sz val="10"/>
        <color theme="1"/>
        <rFont val="Times New Roman"/>
        <family val="1"/>
      </rPr>
      <t>NKWGNAVIGAATGATRGVSWCRGFGPWGMTACGLGGAAIGGYLGYKSN</t>
    </r>
  </si>
  <si>
    <t>Bac_148</t>
  </si>
  <si>
    <t>enterocin DD14</t>
  </si>
  <si>
    <t>A</t>
  </si>
  <si>
    <t>Enterocin MR10 MR10A</t>
  </si>
  <si>
    <t>MGAIAKLVAKFGWPIVKKYYKQIMQFIGEGWAINKIIDWIKKHI</t>
  </si>
  <si>
    <t>Leaderless</t>
  </si>
  <si>
    <t>10.1016/j.ijantimicag.2016.11.016</t>
  </si>
  <si>
    <t>The safe enterocin DD14 is a leaderless two-peptide bacteriocin with anti-Clostridium perfringens activity</t>
  </si>
  <si>
    <t>Leaderless two peptides</t>
  </si>
  <si>
    <t>Bac_149</t>
  </si>
  <si>
    <t>B</t>
  </si>
  <si>
    <t>Enterocin MR10 MR10B</t>
  </si>
  <si>
    <t>MGAIAKLVAKFGWPFIKKFYKQIMQFIGQGWTIDQIEKWLKRH</t>
  </si>
  <si>
    <t>Bac_150</t>
  </si>
  <si>
    <t>blp1a</t>
  </si>
  <si>
    <t>ECELAKVDGGYTPKNCAMAVGGGMLSGAIRGGMSGTVFGVGTGNLAGAFAGAHIGLVAGGLACIGGYLGSH</t>
  </si>
  <si>
    <t xml:space="preserve">Lactobacillus salivarius </t>
  </si>
  <si>
    <t>BGHO1</t>
  </si>
  <si>
    <t>JQ322756</t>
  </si>
  <si>
    <t>10.1016/j.ijantimicag.2012.04.011</t>
  </si>
  <si>
    <t>Purification and genetic characterisation of the novel bacteriocin LS2 produced by the human oral strain Lactobacillus salivarius BGHO1</t>
  </si>
  <si>
    <t>Undetermined cleavage site</t>
  </si>
  <si>
    <t>Bac_151</t>
  </si>
  <si>
    <t>blp1b</t>
  </si>
  <si>
    <t>MSYEKLNNEELSKILGGNGINWGAVAGSCASGAVIGAAFGNPLTGCVANSAFSFSWQAFKNRPRPKKIA</t>
  </si>
  <si>
    <t>Bac_152</t>
  </si>
  <si>
    <t>Plantaricin EmF</t>
  </si>
  <si>
    <t>Em</t>
  </si>
  <si>
    <t>FNRGGYNFGKSVRH</t>
  </si>
  <si>
    <t>10.1021/acs.jafc.1c06269</t>
  </si>
  <si>
    <t>A Novel Class IIb Bacteriocin-Plantaricin EmF Effectively Inhibits Listeria monocytogenes and Extends the Shelf Life of Beef in Combination with Chitosan</t>
  </si>
  <si>
    <t>Unknwon leader</t>
  </si>
  <si>
    <t>Bac_153</t>
  </si>
  <si>
    <t>F</t>
  </si>
  <si>
    <t>Bac_154</t>
  </si>
  <si>
    <t>lactococcin MN</t>
  </si>
  <si>
    <t>lcnM</t>
  </si>
  <si>
    <t>MKNQLNFEILSDEELQGINGGIRGTGKGLAAAMVSGAAMGGAIGAFGGPVGAIMGAWGGAVGGAMKYSI</t>
  </si>
  <si>
    <t>Lactococcus lactis subsp.cremoris</t>
  </si>
  <si>
    <t>9B4</t>
  </si>
  <si>
    <t>MN231270</t>
  </si>
  <si>
    <t>10.1128/aem.57.2.492-498.1991; 10.1002/mbo3.957</t>
  </si>
  <si>
    <t>Organization and nucleotide sequences of two lactococcal bacteriocin operons</t>
  </si>
  <si>
    <t>Bac_155</t>
  </si>
  <si>
    <t>lcnN</t>
  </si>
  <si>
    <t>MKKDEANTFKEYSSSFAIVTDEELENINGSGSIWGAIAGGAVKGAIAASWTGNPVGIGMSALGGAVLGGVTYARPVH</t>
  </si>
  <si>
    <t>Bac_156</t>
  </si>
  <si>
    <t>brevicin 174A</t>
  </si>
  <si>
    <t>Bac_157</t>
  </si>
  <si>
    <t>Bac_158</t>
  </si>
  <si>
    <t xml:space="preserve">Acidocin J1132 </t>
  </si>
  <si>
    <t>alpha</t>
  </si>
  <si>
    <t>NPKVAHCASQIGRSTAWGAVSGA</t>
  </si>
  <si>
    <t>JCM 1132</t>
  </si>
  <si>
    <t>10.1128/aem.62.3.892-897.1996</t>
  </si>
  <si>
    <t>Q9R4A0</t>
  </si>
  <si>
    <t>Isolation, partial characterization, and mode of action of Acidocin J1132, a two-component bacteriocin produced by Lactobacillus acidophilus JCM 1132</t>
  </si>
  <si>
    <t>Partial, N-terminal, unknown leader</t>
  </si>
  <si>
    <t>Bac_159</t>
  </si>
  <si>
    <t>beta</t>
  </si>
  <si>
    <t>GNPKVAHCASQIGRSTAWGAVSGA</t>
  </si>
  <si>
    <t>Q9R499 </t>
  </si>
  <si>
    <t>Bac_160</t>
  </si>
  <si>
    <t>thuricin A1</t>
  </si>
  <si>
    <t>IIc</t>
    <phoneticPr fontId="5" type="noConversion"/>
  </si>
  <si>
    <t>MVAFLRIVGQLGAKAASWAWANKGKVLDWIKNGMAIDWIINKINDMVN</t>
  </si>
  <si>
    <t>Bacillus thuringiensis</t>
  </si>
  <si>
    <t>LX43</t>
  </si>
  <si>
    <t>ON246244</t>
  </si>
  <si>
    <t>10.1021/acs.jafc.2c02890</t>
  </si>
  <si>
    <t>Thuricins: Novel Leaderless Bacteriocins with Potent Antimicrobial Activity Against Gram-Positive Foodborne Pathogens</t>
  </si>
  <si>
    <t>The first amino acid is formylmethionine.</t>
  </si>
  <si>
    <t>Bac_161</t>
  </si>
  <si>
    <t>thuricin A2</t>
  </si>
  <si>
    <t>MVAFLRIVGQLGAKAASWAWANKGRVLGWIRDGMAIEWIINKINDMVS</t>
  </si>
  <si>
    <t>Bac_162</t>
  </si>
  <si>
    <t>thuricin A3</t>
  </si>
  <si>
    <t>MVAFLRIVGQLGAKAASWAWANKGKVLGWIRDGLAIDWIINKINDMVS</t>
  </si>
  <si>
    <t>Bac_163</t>
  </si>
  <si>
    <t>thuricin A4</t>
  </si>
  <si>
    <t>MVAFLRIVGQLGAKAASWAWANKGKVLGWIRDGLAIDWIINKINDMVN</t>
  </si>
  <si>
    <t>Bac_164</t>
  </si>
  <si>
    <t>thuricin A5</t>
  </si>
  <si>
    <t>MVAFLRIVGQLGAKAASWAWANKGKILGWIRDGLAIDWIINKINDMVN</t>
  </si>
  <si>
    <t>Bac_165</t>
  </si>
  <si>
    <t>thucin A1</t>
  </si>
  <si>
    <t>MIAFLRIVAQLGARAARWAWANKDRVLGWIRDGMAIDWIINKINDMVS</t>
  </si>
  <si>
    <t xml:space="preserve">Bacillus thuringiensis </t>
  </si>
  <si>
    <t>P86</t>
  </si>
  <si>
    <t>ON398335</t>
  </si>
  <si>
    <t>10.1186/s12934-022-01912-3</t>
  </si>
  <si>
    <t>Three novel leaderless bacteriocins have antimicrobial activity against gram-positive bacteria to serve as promising food biopreservative</t>
  </si>
  <si>
    <t>Bac_166</t>
  </si>
  <si>
    <t>thucin A2</t>
  </si>
  <si>
    <t>MITFLRIVAQLGARAAKWAWANKDRVLNWIKNGVAIDWIIDKINDMVN</t>
  </si>
  <si>
    <t>Bac_167</t>
  </si>
  <si>
    <t>thucin A3</t>
  </si>
  <si>
    <t>MVTFLRIVAQLGARAARWAWANKDRILGWIRDGMAIDWIINKINDMVN</t>
  </si>
  <si>
    <t>Bac_168</t>
  </si>
  <si>
    <t>Aureocin A53</t>
  </si>
  <si>
    <t>MSWLNFLKYIAKYGKKAVSAAWKYKGKVLEWLNVGPTLEWVWQKLKKIAGL</t>
    <phoneticPr fontId="5" type="noConversion"/>
  </si>
  <si>
    <t>Staphylococcus aureus</t>
  </si>
  <si>
    <t>10.1016/S0022-2836(02)00368-6</t>
  </si>
  <si>
    <t>2N8O</t>
  </si>
  <si>
    <t>Q8GPI4</t>
  </si>
  <si>
    <t>Biochemical characterisation and genetic analysis of aureocin A53, a new, atypical bacteriocin from Staphylococcus aureus</t>
  </si>
  <si>
    <t>Bac_169</t>
  </si>
  <si>
    <t xml:space="preserve">BacSP222 </t>
  </si>
  <si>
    <t>MAGLLRFLLSKGRALYNWAKSHVGKVWEWLKSGATYEQIKEWIENALGWR</t>
  </si>
  <si>
    <t>Staphylococcus pseudintermedius</t>
  </si>
  <si>
    <t>CP011490</t>
  </si>
  <si>
    <t>10.1038/srep14569</t>
  </si>
  <si>
    <t>A peptide factor secreted by Staphylococcus pseudintermedius exhibits properties of both bacteriocins and virulence factors</t>
  </si>
  <si>
    <t>N-terminal formylated</t>
  </si>
  <si>
    <t>Bac_170</t>
  </si>
  <si>
    <t xml:space="preserve">Capidermicin </t>
  </si>
  <si>
    <t>MSKVISALSKYGPKAVNWAKNHKGQIANWLLHGLSIPDIVQNVKNAVGIK</t>
  </si>
  <si>
    <t>Staphylococcus capitis</t>
  </si>
  <si>
    <t>CIT060</t>
  </si>
  <si>
    <t>MN234131</t>
  </si>
  <si>
    <t>10.1371/journal.pone.0223541</t>
  </si>
  <si>
    <t>Identification and characterisation of capidermicin, a novel bacteriocin produced by Staphylococcus capitis</t>
  </si>
  <si>
    <t>N-formylated methionine</t>
  </si>
  <si>
    <t>Bac_171</t>
  </si>
  <si>
    <t>mutacin BHT-B</t>
  </si>
  <si>
    <t>Ursoricin</t>
  </si>
  <si>
    <t>MWGRILAFVAKYGTKAVQWAWKNKWFLLSLGEAVFDYIRSIWGG</t>
    <phoneticPr fontId="5" type="noConversion"/>
  </si>
  <si>
    <t>Streptococcus rattus</t>
    <phoneticPr fontId="5" type="noConversion"/>
  </si>
  <si>
    <t>BHT</t>
  </si>
  <si>
    <t>DQ145753</t>
  </si>
  <si>
    <t>10.1016/j.femsle.2005.09.003</t>
  </si>
  <si>
    <t>Streptococcus rattus strain BHT produces both a class I two-component lantibiotic and a class II bacteriocin</t>
  </si>
  <si>
    <t>Bac_172</t>
  </si>
  <si>
    <t>Enterocin EJ97</t>
  </si>
  <si>
    <t>MLAKIKAMIKKFPNPYTLAAKLTTYEINWYKQQYGRYPWERPVA</t>
  </si>
  <si>
    <t>EJ97</t>
  </si>
  <si>
    <t>AJ490170</t>
  </si>
  <si>
    <t>10.1128/AEM.69.3.1633-1641.2003</t>
  </si>
  <si>
    <t>Q8KMU4</t>
  </si>
  <si>
    <t>The genes coding for enterocin EJ97 production by Enterococcus faecalis EJ97 are located on a conjugative plasmid</t>
  </si>
  <si>
    <t>Bac_173</t>
  </si>
  <si>
    <t>Enterocin K1</t>
  </si>
  <si>
    <t>MKFKFNPTGTIVKKLTQYEIAWFKNKHGYYPWEIPRC</t>
  </si>
  <si>
    <t>Enterococcus</t>
  </si>
  <si>
    <t>10.3389/fmicb.2017.00774</t>
  </si>
  <si>
    <t>WP_002339170.1</t>
  </si>
  <si>
    <t>The Leaderless Bacteriocin Enterocin K1 Is Highly Potent against Enterococcus faecium: A Study on Structure, Target Spectrum and Receptor</t>
  </si>
  <si>
    <t>Bac_174</t>
  </si>
  <si>
    <t>Enterocin Q</t>
  </si>
  <si>
    <t>MNFLKNGIAKWMTGAELQAYKKKYGCLPWEKISC</t>
  </si>
  <si>
    <t>L50</t>
  </si>
  <si>
    <t>10.1128/JB.182.23.6806-6814.2000</t>
  </si>
  <si>
    <t>Q7WYZ9</t>
  </si>
  <si>
    <t>Biochemical and genetic evidence that Enterococcus faecium L50 produces enterocins L50A and L50B, the sec-dependent enterocin P, and a novel bacteriocin secreted without an N-terminal extension termed enterocin Q</t>
  </si>
  <si>
    <t>Bac_175</t>
  </si>
  <si>
    <t>LsbB</t>
  </si>
  <si>
    <t>MKTILRFVAGYDIASHKKKTGGYPWERGKA</t>
  </si>
  <si>
    <t>BGMN1-5</t>
  </si>
  <si>
    <t>AF056207</t>
  </si>
  <si>
    <t>10.1099/mic.0.062828-0</t>
  </si>
  <si>
    <t>2MLU</t>
  </si>
  <si>
    <t>Q7X2B5</t>
  </si>
  <si>
    <t>Characterization of an antimicrobial peptide produced by Bacillus subtilis subsp. spizezinii showing inhibitory activity towards Haemophilus parasuis</t>
  </si>
  <si>
    <t>Bac_176</t>
  </si>
  <si>
    <t>Lacticin Q</t>
  </si>
  <si>
    <t>MAGFLKVVQLLAKYGSKAVQWAWANKGKILDWLNAGQAIDWVVSKIKQILGIK</t>
  </si>
  <si>
    <t>QU 5</t>
  </si>
  <si>
    <t>AB235201</t>
  </si>
  <si>
    <t>10.1128/AEM.02286-06</t>
  </si>
  <si>
    <t>2N8P</t>
  </si>
  <si>
    <t xml:space="preserve">A4UVR2 </t>
  </si>
  <si>
    <t>Structural analysis and characterization of lacticin Q, a novel bacteriocin belonging to a new family of unmodified bacteriocins of gram-positive bacteria</t>
  </si>
  <si>
    <t>Bac_177</t>
  </si>
  <si>
    <t>Lacticin Z</t>
  </si>
  <si>
    <t>MAGFLKVVQILAKYGSKAVQWAWANKGKILDWINAGQAIDWVVEKIKQILGIK</t>
  </si>
  <si>
    <t>QU 14</t>
  </si>
  <si>
    <t>AB298287</t>
  </si>
  <si>
    <t>10.1271/bbb.70169</t>
  </si>
  <si>
    <t>Characterization and structure analysis of a novel bacteriocin, lacticin Z, produced by Lactococcus lactis QU 14</t>
  </si>
  <si>
    <t>Bac_178</t>
  </si>
  <si>
    <t>bacin A1</t>
  </si>
  <si>
    <t>MITFLRIVAQLGVRAARWAWANKDRVLGWIRDGMAIDWIINKINDMVN</t>
  </si>
  <si>
    <t>Bacillus sp.</t>
  </si>
  <si>
    <t>TL12</t>
  </si>
  <si>
    <t>OL456173</t>
  </si>
  <si>
    <t>10.1128/spectrum.00945-22</t>
  </si>
  <si>
    <t>Four Novel Leaderless Bacteriocins, Bacin A1, A2, A3, and A4 Exhibit Potent Antimicrobial and Antibiofilm Activities against Methicillin-Resistant Staphylococcus aureus</t>
  </si>
  <si>
    <t>Bac_179</t>
  </si>
  <si>
    <t>bacin A2</t>
  </si>
  <si>
    <t>MITFLRIVAQLGARAARWAWANKDRILNWIKNGMAIDWIIDKINDMVN</t>
  </si>
  <si>
    <t>Bac_180</t>
  </si>
  <si>
    <t>bacin A3</t>
  </si>
  <si>
    <t>MITFLRIVAQLGARAARWAWANKDRVLGWIRDGIAIDWIINKINDMVN</t>
  </si>
  <si>
    <t>Bac_181</t>
  </si>
  <si>
    <t>bacin A4</t>
  </si>
  <si>
    <t>MVTFLRIVAQLGARAARWAWANKDRVLGWIRDGIAIDWIINKINDMVN</t>
  </si>
  <si>
    <t>Bac_182</t>
  </si>
  <si>
    <t>Toyoncin</t>
  </si>
  <si>
    <t>MINTAWKIIKALQKYGTKAYNVIKKGGQAMYDSFMAAKAKGWTHAAWWLVEHGSTLGTFYDLLKAAGLID</t>
  </si>
  <si>
    <t>Bacillus toyonensis</t>
  </si>
  <si>
    <t>XIN-YC13</t>
  </si>
  <si>
    <t>MT795152</t>
  </si>
  <si>
    <t>10.1128/AEM.00185-21</t>
  </si>
  <si>
    <t>Toyoncin, a Novel Leaderless Bacteriocin That Is Produced by Bacillus toyonensis XIN-YC13 and Specifically Targets B. cereus and Listeria monocytogenes</t>
  </si>
  <si>
    <t>Bac_183</t>
  </si>
  <si>
    <t>Epidermicin NI01</t>
  </si>
  <si>
    <t>MAAFMKLIQFLATKGQKYVSLAWKHKGTILKWINAGQSFEWIYKQIKKLWA</t>
  </si>
  <si>
    <t>Staphylococcus epidermidis</t>
  </si>
  <si>
    <t>10.1128/AAC.05397-11</t>
  </si>
  <si>
    <t>Identification, characterization, and recombinant expression of epidermicin NI01, a novel unmodified bacteriocin produced by Staphylococcus epidermidis that displays potent activity against Staphylococci</t>
  </si>
  <si>
    <t>Bac_184</t>
  </si>
  <si>
    <t>Lactolisterin BU</t>
  </si>
  <si>
    <t>MWGRILGTVAKYGPKAVSWAWQHKWELINMGDLAFRYIQRIWG</t>
  </si>
  <si>
    <t>BGBU1-4</t>
  </si>
  <si>
    <t>LT629305</t>
  </si>
  <si>
    <t>10.1128/AEM.01519-17</t>
  </si>
  <si>
    <t>Lactolisterin BU, a Novel Class II Broad-Spectrum Bacteriocin from Lactococcus lactis subsp. lactis bv. diacetylactis BGBU1-4</t>
  </si>
  <si>
    <t>Bac_185</t>
  </si>
  <si>
    <t>Weisselicin Y</t>
  </si>
  <si>
    <t>MANIVLRVGSVAYNYAPKIFKWIGEGVSYNQIIKWGHNKGWW</t>
  </si>
  <si>
    <t>Weissella hellenica</t>
  </si>
  <si>
    <t>QU 13</t>
  </si>
  <si>
    <t>AB501211</t>
  </si>
  <si>
    <t>10.1111/j.1365-2672.2011.05180.x</t>
  </si>
  <si>
    <t>Characterization and identification of weissellicin Y and weissellicin M, novel bacteriocins produced by Weissella hellenica QU 13</t>
  </si>
  <si>
    <t>Bac_186</t>
  </si>
  <si>
    <t>Weisselicin M</t>
  </si>
  <si>
    <t>MVSAAKVALKVGWGLVKKYYTKVMQFIGEGWSVDQIADWLKRH</t>
  </si>
  <si>
    <t>Bac_187</t>
  </si>
  <si>
    <t>Delta-lysinI</t>
  </si>
  <si>
    <t>MAADIISTIGDLVKLIINTVKKFQK</t>
  </si>
  <si>
    <t>Staphylococcus warneri</t>
  </si>
  <si>
    <t>10.1016/j.peptides.2008.01.017</t>
  </si>
  <si>
    <t>Characterization of anti-Legionella activity of warnericin RK and delta-lysin I from Staphylococcus warneri</t>
  </si>
  <si>
    <t>Bac_188</t>
  </si>
  <si>
    <t>warnericin RK</t>
  </si>
  <si>
    <t>MQFITDLIKKAVDFFKGLFGNK</t>
  </si>
  <si>
    <t>Bac_189</t>
  </si>
  <si>
    <t>Pep27</t>
  </si>
  <si>
    <t>Iic</t>
  </si>
  <si>
    <t>MRKEFHNVLSSGQLLADKRPARDYNRK</t>
  </si>
  <si>
    <t>AF140784</t>
  </si>
  <si>
    <t>10.1016/s1097-2765(00)80402-5; 10.1186/1475-2867-5-21</t>
  </si>
  <si>
    <t>Signal transduction by a death signal peptide: uncovering the mechanism of bacterial killing by penicillin</t>
  </si>
  <si>
    <t>Signal and antimicrobial peptide</t>
  </si>
  <si>
    <t>Bac_190</t>
  </si>
  <si>
    <t>Laterosporulin</t>
  </si>
  <si>
    <t>MACQCPDAISGWTHTDYQCHGLENKMYRHVYAICMNGTQVYCRTEWGSSC</t>
  </si>
  <si>
    <r>
      <rPr>
        <sz val="10"/>
        <color theme="6"/>
        <rFont val="Times New Roman"/>
        <family val="1"/>
      </rPr>
      <t>M</t>
    </r>
    <r>
      <rPr>
        <sz val="10"/>
        <color theme="1"/>
        <rFont val="Times New Roman"/>
        <family val="1"/>
      </rPr>
      <t>ACQCPDAISGWTHTDYQCHGLENKMYRHVYAICMNGTQVYCRTEWGSSC</t>
    </r>
  </si>
  <si>
    <t>Brevibacillus laterosporus</t>
  </si>
  <si>
    <t>GI-9</t>
  </si>
  <si>
    <t>HE579167</t>
  </si>
  <si>
    <t>10.1371/journal.pone.0031498; 10.1111/febs.13129</t>
  </si>
  <si>
    <t>4OZK</t>
  </si>
  <si>
    <t>Identification, purification and characterization of laterosporulin, a novel bacteriocin produced by Brevibacillus sp. strain GI-9</t>
  </si>
  <si>
    <t>Two disulfides</t>
  </si>
  <si>
    <t>Bac_191</t>
  </si>
  <si>
    <t xml:space="preserve">	Laterosporulin 10</t>
  </si>
  <si>
    <t>MACVNQCPDAIDRFIVKDKGCHGVEKKYYKQVYVACMNGQHLYCRTEWGGPCQL</t>
  </si>
  <si>
    <r>
      <rPr>
        <sz val="10"/>
        <color theme="6"/>
        <rFont val="Times New Roman"/>
        <family val="1"/>
      </rPr>
      <t>M</t>
    </r>
    <r>
      <rPr>
        <sz val="10"/>
        <color theme="1"/>
        <rFont val="Times New Roman"/>
        <family val="1"/>
      </rPr>
      <t>ACVNQCPDAIDRFIVKDKGCHGVEKKYYKQVYVACMNGQHLYCRTEWGGPCQL</t>
    </r>
  </si>
  <si>
    <t>Brevibacillus sp.</t>
  </si>
  <si>
    <t>SKDU10</t>
  </si>
  <si>
    <t>10.1099/mic.0.000316</t>
  </si>
  <si>
    <t>Laterosporulin10: a novel defensin like Class IId bacteriocin from Brevibacillus sp. strain SKDU10 with inhibitory activity against microbial pathogens</t>
  </si>
  <si>
    <t>Defensin-like bacteriocins</t>
  </si>
  <si>
    <t>Bac_192</t>
  </si>
  <si>
    <t>Enterocin L50 (enterocin 62-6)</t>
  </si>
  <si>
    <t>L50A</t>
  </si>
  <si>
    <t>MGAIAKLVAKFGWPIVKKYYKQIMQFIGEGWAINKIIEWIKKHI</t>
  </si>
  <si>
    <t>AJ223633; EF112398.1</t>
  </si>
  <si>
    <t>10.1128/JB.180.8.1988-1994.1998; 10.1080/08910600701538240</t>
  </si>
  <si>
    <t>Q7B2P3</t>
  </si>
  <si>
    <t>Enterocins L50A and L50B, two novel bacteriocins from Enterococcus faecium L50, are related to staphylococcal hemolysins; Purification and characterization of enterocin 62-6, a two-peptide
bacteriocin produced by a vaginal strain of Enterococcus faecium: Potential significance in bacterial vaginosis</t>
  </si>
  <si>
    <t>Both bacteriocins possess antimicrobial activity on their own.</t>
  </si>
  <si>
    <t>Bac_193</t>
  </si>
  <si>
    <t>L50B</t>
  </si>
  <si>
    <t>MGAIAKLVTKFGWPLIKKFYKQIMQFIGQGWTIDQIEKWLKRH</t>
  </si>
  <si>
    <t>Q7B2P2</t>
  </si>
  <si>
    <t>Bac_194</t>
  </si>
  <si>
    <t xml:space="preserve">Enterocin MR10 </t>
  </si>
  <si>
    <t>MR10A</t>
  </si>
  <si>
    <t>enterocin DD14 A</t>
  </si>
  <si>
    <t>MRR 10-3</t>
  </si>
  <si>
    <t>DQ366596</t>
  </si>
  <si>
    <t>10.1128/AEM.02940-05</t>
  </si>
  <si>
    <t xml:space="preserve">Q1A2D3 </t>
  </si>
  <si>
    <t>Characterization of antimicrobial substances produced by Enterococcus faecalis MRR 10-3, isolated from the uropygial gland of the hoopoe (Upupa epops)</t>
  </si>
  <si>
    <t>Bac_195</t>
  </si>
  <si>
    <t>MR10B</t>
  </si>
  <si>
    <t>enterocin DD14 B</t>
  </si>
  <si>
    <t>Q1A2D2</t>
  </si>
  <si>
    <t>Bac_196</t>
  </si>
  <si>
    <t>Garvicin KS</t>
  </si>
  <si>
    <t>KS-A</t>
  </si>
  <si>
    <t>MGAIIKAGAKIVGKGVLGGGASWLGWNVGEKIWK</t>
  </si>
  <si>
    <t>KS1546</t>
  </si>
  <si>
    <t>KU821057</t>
  </si>
  <si>
    <t>10.3390/ijms23052833</t>
  </si>
  <si>
    <t>Garvicin KS, a Broad-Spectrum Bacteriocin Protects Zebrafish Larvae against Lactococcus garvieae Infection</t>
  </si>
  <si>
    <t>Multipeptide Bacteriocins</t>
  </si>
  <si>
    <t>Bac_197</t>
  </si>
  <si>
    <t>KS-B</t>
  </si>
  <si>
    <t>MGAIIKAGAKIIGKGLLGGAAGGATYGGLKKIFG</t>
  </si>
  <si>
    <t>Bac_198</t>
  </si>
  <si>
    <t>KS-C</t>
  </si>
  <si>
    <t>MGAIIKAGAKIVGKGALTGGGVWLAEKLFGGK</t>
  </si>
  <si>
    <t>Bac_199</t>
  </si>
  <si>
    <t>Aureocin A70</t>
  </si>
  <si>
    <t>AurA</t>
    <phoneticPr fontId="5" type="noConversion"/>
  </si>
  <si>
    <t>MGKLAIKAGKIIGGGIASALGWAAGEKAVGK</t>
  </si>
  <si>
    <t>A70</t>
  </si>
  <si>
    <t>AF241888</t>
  </si>
  <si>
    <t>10.1006/jmbi.2001.4885</t>
  </si>
  <si>
    <t>Molecular characterisation of aureocin A70, a multi-peptide bacteriocin isolated from Staphylococcus aureus</t>
  </si>
  <si>
    <t>Bac_200</t>
  </si>
  <si>
    <t>AurB</t>
    <phoneticPr fontId="5" type="noConversion"/>
  </si>
  <si>
    <t>MGAVAKFLGKAALGGAAGGATYAGLKKIFG</t>
  </si>
  <si>
    <t>Bac_201</t>
  </si>
  <si>
    <t>AurC</t>
    <phoneticPr fontId="5" type="noConversion"/>
  </si>
  <si>
    <t>MGALIKTGAKIIGSGAAGGLGTYIGHKILGK</t>
  </si>
  <si>
    <t>Bac_202</t>
  </si>
  <si>
    <t>AurD</t>
    <phoneticPr fontId="5" type="noConversion"/>
  </si>
  <si>
    <t>MGAVIKVGAKVIGWGAASGAGLYGLEKILKK</t>
  </si>
  <si>
    <t>Bac_203</t>
  </si>
  <si>
    <t>Cereucin V</t>
  </si>
  <si>
    <t>CevA</t>
  </si>
  <si>
    <t>MGAVVKGGLKIIGGTAASWLGWEAGTRIWK</t>
  </si>
  <si>
    <t xml:space="preserve">Bacillus cereus </t>
  </si>
  <si>
    <t>10.1128/AEM.01094-16</t>
  </si>
  <si>
    <t>Novel Group of Leaderless Multipeptide Bacteriocins from Gram-Positive Bacteria</t>
  </si>
  <si>
    <t>Bac_204</t>
  </si>
  <si>
    <t>CevB</t>
  </si>
  <si>
    <t>MGAAVKMLGKAFAGGVAGGATYGGLKKIFG</t>
  </si>
  <si>
    <t>Bac_205</t>
  </si>
  <si>
    <t>CevC</t>
  </si>
  <si>
    <t>MGAVVKGALKIIGGGAASGGAVYGLERIFGR</t>
  </si>
  <si>
    <t>Bac_206</t>
  </si>
  <si>
    <t>Cereucin X</t>
  </si>
  <si>
    <t>CexA</t>
  </si>
  <si>
    <t>MGKKIGKWIITGAAGWAGWEIGEGIWK</t>
  </si>
  <si>
    <t>Bac_207</t>
  </si>
  <si>
    <t>CexB</t>
  </si>
  <si>
    <t>MKYLGTLIKGAAGGAGAYVGEKIYNWYKN</t>
  </si>
  <si>
    <t>Bac_208</t>
  </si>
  <si>
    <t>CexC</t>
  </si>
  <si>
    <t>MGALFKAALKAAGGGAAGGATYGGLKHFFG</t>
  </si>
  <si>
    <t>Bac_209</t>
  </si>
  <si>
    <t>Cereucin H</t>
  </si>
  <si>
    <t>CehA</t>
  </si>
  <si>
    <t>MAKIGKWVVKGAAGYLGWEIGEGIWK</t>
  </si>
  <si>
    <t>Bac_210</t>
  </si>
  <si>
    <t>CehB</t>
  </si>
  <si>
    <t>MGALVKGGLKLIGGTAASWLGWEAGERVWK</t>
  </si>
  <si>
    <t>Bac_211</t>
  </si>
  <si>
    <t>CehC</t>
  </si>
  <si>
    <t>MGAIIKGGLKLVGGGAAGGFTYGGLKKIFG</t>
  </si>
  <si>
    <t>Bac_212</t>
  </si>
  <si>
    <t>CehD</t>
  </si>
  <si>
    <t>MGAIIKGAAKVLGKGAATGGVIYGLEKLFR</t>
  </si>
  <si>
    <t>Bac_213</t>
  </si>
  <si>
    <t>SprG1</t>
  </si>
  <si>
    <t>long</t>
  </si>
  <si>
    <t>MVALLKSLERRRLMITISTMLQFGLFLIALIGLVIKLIELSNKK</t>
  </si>
  <si>
    <t>10.1016/j.celrep.2014.03.012</t>
  </si>
  <si>
    <t>Dual toxic-peptide-coding Staphylococcus aureus RNA under antisense regulation targets host cells and bacterial rivals unequally</t>
  </si>
  <si>
    <t>Long and short are within one ORF</t>
  </si>
  <si>
    <t>Bac_214</t>
  </si>
  <si>
    <t>short</t>
  </si>
  <si>
    <t>MITISTMLQFGLFLIALIGLVIKLIELSNKK</t>
  </si>
  <si>
    <t>Bac_215</t>
  </si>
  <si>
    <t xml:space="preserve">BM173 </t>
  </si>
  <si>
    <t>MSQNTHKGMTGHRRPVNQKNGAEKRAKTQAVLDFLRSRDTKESK</t>
  </si>
  <si>
    <t>Lactobacillus crustorum</t>
  </si>
  <si>
    <t>MN047</t>
  </si>
  <si>
    <t>10.3389/fmicb.2018.01567</t>
  </si>
  <si>
    <t>Efficient Exploitation of Multiple Novel Bacteriocins by Combination of Complete Genome and Peptidome</t>
  </si>
  <si>
    <t>Bac_216</t>
  </si>
  <si>
    <t xml:space="preserve">BM797 </t>
  </si>
  <si>
    <t>MRYKVTLDTKQQLFTVFDKKNTRVSACGKSIEEAMNKLLKMSA</t>
  </si>
  <si>
    <t>Bac_217</t>
  </si>
  <si>
    <t xml:space="preserve">BM1029 </t>
  </si>
  <si>
    <t>MDKPNIAEMIIQYEKNKDMTDTQFAFESHLSVERVHNLKSGDYEPTADEIKTVQEYIKLHQ</t>
  </si>
  <si>
    <t>Bac_218</t>
  </si>
  <si>
    <t xml:space="preserve">BM1556 </t>
  </si>
  <si>
    <t>MKRILLKSDRTLDDSELAKVIGGGFFEGIGRWIDQRWH</t>
  </si>
  <si>
    <t>Bac_219</t>
  </si>
  <si>
    <t xml:space="preserve">BM1829 </t>
  </si>
  <si>
    <t>MAEVDPSKMADAAIAKEPEVLNLKMSEAFDWSDDDTVVRDAIWDYFMENNNHDTVKTEEAEKPFLDMKDEEVRDFVEKNLKK</t>
  </si>
  <si>
    <t>Bac_220</t>
  </si>
  <si>
    <t xml:space="preserve">BMP11 </t>
  </si>
  <si>
    <t>MSINKQKISRNKVLNLLTLFQLLISLYQVIKTIKKGK</t>
  </si>
  <si>
    <t>Bac_221</t>
  </si>
  <si>
    <t>BMP32</t>
  </si>
  <si>
    <t>MTVTDPRSPLTTWIFFCSKKTTPPLKGAVVMPNSGLSRHLHYLRLSSRCLSNSRNTPTSSGAMIA</t>
  </si>
  <si>
    <t>Bac_222</t>
  </si>
  <si>
    <t>PSMalpha4</t>
  </si>
  <si>
    <t>MAIVGTIIKIIKAIIDIFAK</t>
  </si>
  <si>
    <t>10.1074/jbc.M112.349860</t>
  </si>
  <si>
    <t>Novel phenol-soluble modulin derivatives in community-associated methicillin-resistant Staphylococcus aureus identified through imaging mass spectrometry</t>
  </si>
  <si>
    <t>Bac_223</t>
  </si>
  <si>
    <t>PSMalpha1</t>
  </si>
  <si>
    <t>MGIIAGIIKVIKSLIEQFTGK</t>
  </si>
  <si>
    <t>Bac_224</t>
  </si>
  <si>
    <t>PSMalpha</t>
  </si>
  <si>
    <t>MADVIAKIVEIVKGLIDQFTQK</t>
  </si>
  <si>
    <t>10.1007/s11010-015-2407-1</t>
  </si>
  <si>
    <t>O85486</t>
  </si>
  <si>
    <t>Effect of amino acid substitution in the staphylococcal peptides warnericin RK and PSMα on their anti-Legionella and hemolytic activities</t>
  </si>
  <si>
    <t>Bac_225</t>
  </si>
  <si>
    <t>PSMβ1</t>
  </si>
  <si>
    <t>MSGLIDAIKTTVEAGLNGEWADMGLGIAEIVAKGIEAISGFFG</t>
  </si>
  <si>
    <t>Staphylococcus felis</t>
  </si>
  <si>
    <t>C4</t>
  </si>
  <si>
    <t>10.7554/eLife.66793</t>
  </si>
  <si>
    <t>Antimicrobials from a feline commensal bacterium inhibit skin infection by drug-resistant S. pseudintermedius</t>
  </si>
  <si>
    <t>phenol-soluble modulin beta</t>
  </si>
  <si>
    <t>Bac_226</t>
  </si>
  <si>
    <t>PSMβ2</t>
  </si>
  <si>
    <t>MSDLINAIKTTVEAGLNGEWTDMGFGIADIVAKGIDVILGFFG</t>
  </si>
  <si>
    <t>Bac_227</t>
  </si>
  <si>
    <t>PSMβ3</t>
  </si>
  <si>
    <t>MADLINAIKTTVEAGLNGEWTDMGFGIADIVAKGIDVISGFFG</t>
  </si>
  <si>
    <t>Bac_228</t>
  </si>
  <si>
    <t>lactococcin K</t>
  </si>
  <si>
    <t>IIc</t>
  </si>
  <si>
    <t>MVPTTFTLTTNNFLSDYQQLFI</t>
  </si>
  <si>
    <t>Lactococcus lactis subsp. lactis</t>
    <phoneticPr fontId="5" type="noConversion"/>
  </si>
  <si>
    <t>MY23</t>
  </si>
  <si>
    <t>10.1007/s10529-005-5935-z</t>
  </si>
  <si>
    <t>Cloning and production of a novel bacteriocin, lactococcin K, from Lactococcus lactis subsp. lactis MY23</t>
  </si>
  <si>
    <t>Bac_229</t>
  </si>
  <si>
    <t>Laterosporulin25</t>
  </si>
  <si>
    <t>MACVNECPDAVDDWVYGDWKCHPVEGKYYRHVFAVCMNGANLYCKTEWSKGC</t>
  </si>
  <si>
    <r>
      <rPr>
        <sz val="10"/>
        <color theme="6"/>
        <rFont val="Times New Roman"/>
        <family val="1"/>
      </rPr>
      <t>M</t>
    </r>
    <r>
      <rPr>
        <sz val="10"/>
        <color theme="1"/>
        <rFont val="Times New Roman"/>
        <family val="1"/>
      </rPr>
      <t>ACVNECPDAVDDWVYGDWKCHPVEGKYYRHVFAVCMNGANLYCKTEWSKGC</t>
    </r>
  </si>
  <si>
    <t>DSM25</t>
  </si>
  <si>
    <t>10.1016/j.intimp.2023.110500</t>
  </si>
  <si>
    <t>Laterosporulin25: A probiotically produced, novel defensin-like bacteriocin and its immunogenic properties</t>
  </si>
  <si>
    <t>Bac_230</t>
  </si>
  <si>
    <t>geobacillin 6</t>
  </si>
  <si>
    <t>Geo6</t>
  </si>
  <si>
    <t>MATFLRIVAQLSSKAAKWALDNKDKVLKWIRDGMAIDWIIDKINDIVG</t>
  </si>
  <si>
    <t>Parageobacillus thermoglucosidasius</t>
  </si>
  <si>
    <t>DSM 2542</t>
  </si>
  <si>
    <t>10.3389/fmicb.2023.1207367</t>
  </si>
  <si>
    <t>Novel leaderless bacteriocin geobacillin 6 from thermophilic bacterium Parageobacillus thermoglucosidasius</t>
  </si>
  <si>
    <t>Bac_231</t>
  </si>
  <si>
    <t>Actifensins</t>
  </si>
  <si>
    <t>IId</t>
    <phoneticPr fontId="5" type="noConversion"/>
  </si>
  <si>
    <r>
      <rPr>
        <sz val="10"/>
        <color theme="6"/>
        <rFont val="Times New Roman"/>
        <family val="1"/>
      </rPr>
      <t>MKKFIRRSSSLAAASFEQAFQSETQVPLEGAE</t>
    </r>
    <r>
      <rPr>
        <sz val="10"/>
        <color theme="1"/>
        <rFont val="Times New Roman"/>
        <family val="1"/>
      </rPr>
      <t>GFGCNLITSNPYQCSNHCKSVGYRGGYCKLRTVCTCY</t>
    </r>
  </si>
  <si>
    <t>MKKFIRRSSSLAAASFEQAFQSETQVPLEGAE</t>
  </si>
  <si>
    <t>GFGCNLITSNPYQCSNHCKSVGYRGGYCKLRTVCTCY</t>
  </si>
  <si>
    <t>Others</t>
  </si>
  <si>
    <t>Actinomyces ruminicola</t>
  </si>
  <si>
    <t>DPC 7226</t>
  </si>
  <si>
    <t>10.1128/JB.00529-19</t>
  </si>
  <si>
    <t>WP_147680917.1</t>
  </si>
  <si>
    <t>Actinomyces Produces Defensin-Like Bacteriocins (Actifensins) with a Highly Degenerate Structure and Broad Antimicrobial Activity</t>
  </si>
  <si>
    <t>Bac_232</t>
  </si>
  <si>
    <t>leucocin Q</t>
  </si>
  <si>
    <r>
      <rPr>
        <sz val="10"/>
        <color theme="6"/>
        <rFont val="Times New Roman"/>
        <family val="1"/>
      </rPr>
      <t>MKNQLMSFEVISEKELSTVQGG</t>
    </r>
    <r>
      <rPr>
        <sz val="10"/>
        <color theme="1"/>
        <rFont val="Times New Roman"/>
        <family val="1"/>
      </rPr>
      <t>KGLGKLIGIDWLLGQAKDAVKQYKKDYKRWH</t>
    </r>
  </si>
  <si>
    <t>MKNQLMSFEVISEKELSTVQGG</t>
  </si>
  <si>
    <t>KGLGKLIGIDWLLGQAKDAVKQYKKDYKRWH</t>
  </si>
  <si>
    <t>QU 15</t>
  </si>
  <si>
    <t>AB499611</t>
  </si>
  <si>
    <t>10.1111/j.1365-2672.2009.04653.x</t>
  </si>
  <si>
    <t>Identification and characterization of novel multiple bacteriocins produced by Leuconostoc pseudomesenteroides QU 15</t>
  </si>
  <si>
    <t>Bac_233</t>
  </si>
  <si>
    <t>leucocin N</t>
  </si>
  <si>
    <r>
      <rPr>
        <sz val="10"/>
        <color theme="6"/>
        <rFont val="Times New Roman"/>
        <family val="1"/>
      </rPr>
      <t>MNKEYNSISNFKKITNKDLQNINGG</t>
    </r>
    <r>
      <rPr>
        <sz val="10"/>
        <color theme="1"/>
        <rFont val="Times New Roman"/>
        <family val="1"/>
      </rPr>
      <t>FIGSAIGDFVYFGAKGLRESGKLLNYYYKHKH</t>
    </r>
  </si>
  <si>
    <t>MNKEYNSISNFKKITNKDLQNINGG</t>
  </si>
  <si>
    <t>FIGSAIGDFVYFGAKGLRESGKLLNYYYKHKH</t>
  </si>
  <si>
    <t>Bac_234</t>
  </si>
  <si>
    <t>LsbA</t>
  </si>
  <si>
    <r>
      <rPr>
        <sz val="10"/>
        <color theme="6"/>
        <rFont val="Times New Roman"/>
        <family val="1"/>
      </rPr>
      <t>MIIVGIIFLFVFLAITIGLSFEV</t>
    </r>
    <r>
      <rPr>
        <sz val="10"/>
        <color theme="1"/>
        <rFont val="Times New Roman"/>
        <family val="1"/>
      </rPr>
      <t>FKKKKRNIGTFVFFAIALFCTVMFAYLLLTNQYVPIDYNVPRYA</t>
    </r>
  </si>
  <si>
    <t>MIIVGIIFLFVFLAITIGLSFEV</t>
  </si>
  <si>
    <t>FKKKKRNIGTFVFFAIALFCTVMFAYLLLTNQYVPIDYNVPRYA</t>
  </si>
  <si>
    <t>10.1074/jbc.M211100200</t>
  </si>
  <si>
    <t>O68888</t>
  </si>
  <si>
    <t>Novel mechanism of bacteriocin secretion and immunity carried out by lactococcal multidrug resistance proteins</t>
  </si>
  <si>
    <t>Bac_235</t>
  </si>
  <si>
    <t>Angicin</t>
  </si>
  <si>
    <r>
      <rPr>
        <sz val="10"/>
        <color theme="6"/>
        <rFont val="Times New Roman"/>
        <family val="1"/>
      </rPr>
      <t>MKESENFMLNLKGEVVNELSDVQLSEISGG</t>
    </r>
    <r>
      <rPr>
        <sz val="10"/>
        <color theme="1"/>
        <rFont val="Times New Roman"/>
        <family val="1"/>
      </rPr>
      <t>GSGYCKPVMVGANGYACRYSNGRWDYKVTKGIFQATTDVIVKGWAEYGPWIPRH</t>
    </r>
  </si>
  <si>
    <t>MKESENFMLNLKGEVVNELSDVQLSEISGG</t>
  </si>
  <si>
    <t>GSGYCKPVMVGANGYACRYSNGRWDYKVTKGIFQATTDVIVKGWAEYGPWIPRH</t>
  </si>
  <si>
    <t>Streptococcus anginosus</t>
  </si>
  <si>
    <t>BSU 1211</t>
  </si>
  <si>
    <t>MZ766502</t>
  </si>
  <si>
    <t>10.1038/s41598-021-03797-5</t>
  </si>
  <si>
    <t>Angicin, a novel bacteriocin of Streptococcus anginosus</t>
  </si>
  <si>
    <t>Bac_236</t>
  </si>
  <si>
    <t>Bovicin 255</t>
  </si>
  <si>
    <r>
      <rPr>
        <sz val="10"/>
        <color theme="0" tint="-0.34998626667073579"/>
        <rFont val="Times New Roman"/>
        <family val="1"/>
      </rPr>
      <t>MNTKTFEQFDVMTDEALSTVEGG</t>
    </r>
    <r>
      <rPr>
        <sz val="10"/>
        <color theme="1"/>
        <rFont val="Times New Roman"/>
        <family val="1"/>
      </rPr>
      <t>GKGYCKPVYYAANGYSCRYSNGEWGYVVTKGAFQATTDVIANGWVSSLGGGYFGKP</t>
    </r>
  </si>
  <si>
    <t>MNTKTFEQFDVMTDEALSTVEGG</t>
  </si>
  <si>
    <t>GKGYCKPVYYAANGYSCRYSNGEWGYVVTKGAFQATTDVIANGWVSSLGGGYFGKP</t>
  </si>
  <si>
    <t>Streptococcus bovis</t>
  </si>
  <si>
    <t>LRC 0255</t>
  </si>
  <si>
    <t>AF298196</t>
  </si>
  <si>
    <t>10.1128/AEM.67.2.569-574.2001</t>
  </si>
  <si>
    <t>Identification of bacteriocin-like inhibitors from rumen Streptococcus spp. and isolation and characterization of bovicin 255</t>
  </si>
  <si>
    <t>Bac_237</t>
  </si>
  <si>
    <t>Bovicin 255 variant</t>
  </si>
  <si>
    <r>
      <rPr>
        <sz val="10"/>
        <color theme="6"/>
        <rFont val="Times New Roman"/>
        <family val="1"/>
      </rPr>
      <t>MNTKTFEQFDVMTEAELSTVEGG</t>
    </r>
    <r>
      <rPr>
        <sz val="10"/>
        <color theme="1"/>
        <rFont val="Times New Roman"/>
        <family val="1"/>
      </rPr>
      <t>GKGYCKPVYYAANGYSCRYSNGEWGYVVTKGAFQATTDVIANGWVSSLGGGY</t>
    </r>
  </si>
  <si>
    <t>MNTKTFEQFDVMTEAELSTVEGG</t>
  </si>
  <si>
    <t>GKGYCKPVYYAANGYSCRYSNGEWGYVVTKGAFQATTDVIANGWVSSLGGGY</t>
  </si>
  <si>
    <t>10.1016/j.femsec.2004.01.003</t>
  </si>
  <si>
    <t>WP_074615778.1</t>
  </si>
  <si>
    <t>The use of PCR for the identification and characterisation of bacteriocin genes from bacterial strains isolated from rumen or caecal contents of cattle and sheep</t>
  </si>
  <si>
    <t>Original leader might be imcomplete.</t>
  </si>
  <si>
    <t>Bac_238</t>
  </si>
  <si>
    <r>
      <rPr>
        <sz val="10"/>
        <color theme="6"/>
        <rFont val="Times New Roman"/>
        <family val="1"/>
      </rPr>
      <t>MNTKTFEQFDVMTEAELSTVEGG</t>
    </r>
    <r>
      <rPr>
        <sz val="10"/>
        <color theme="1"/>
        <rFont val="Times New Roman"/>
        <family val="1"/>
      </rPr>
      <t>GKGYCKPVYYAANGYSCRYSSGEWGYVVTKGTFQATTDVIATGWVSSLGGGY</t>
    </r>
  </si>
  <si>
    <t>GKGYCKPVYYAANGYSCRYSSGEWGYVVTKGTFQATTDVIATGWVSSLGGGY</t>
  </si>
  <si>
    <t>Bac_239</t>
  </si>
  <si>
    <t>Thermophilin 13 ThmA</t>
  </si>
  <si>
    <r>
      <rPr>
        <sz val="10"/>
        <color theme="6"/>
        <rFont val="Times New Roman"/>
        <family val="1"/>
      </rPr>
      <t>MNTITICKFDVLDAELLSTVEGG</t>
    </r>
    <r>
      <rPr>
        <sz val="10"/>
        <color theme="1"/>
        <rFont val="Times New Roman"/>
        <family val="1"/>
      </rPr>
      <t>YSGKDCLKDMGGYALAGAGSGALWGAPAGGVGALPGAFVGAHVGAIAGGFACMGGMIGNKFN</t>
    </r>
  </si>
  <si>
    <t>Streptococcus thermophilus</t>
  </si>
  <si>
    <t>ST134</t>
  </si>
  <si>
    <t>10.1007/BF00172834; 10.1128/AEM.67.2.569-574.2001</t>
  </si>
  <si>
    <t>Characterization of a bacteriocin produced by Streptococcus thermophilus ST134</t>
  </si>
  <si>
    <t>Leader was deduced according to Bovicin 255</t>
  </si>
  <si>
    <t>Bac_240</t>
  </si>
  <si>
    <t>Garvicin Q</t>
  </si>
  <si>
    <r>
      <rPr>
        <sz val="10"/>
        <color theme="6"/>
        <rFont val="Times New Roman"/>
        <family val="1"/>
      </rPr>
      <t>MENNNYTVLSDEELQKIDGG</t>
    </r>
    <r>
      <rPr>
        <sz val="10"/>
        <color theme="1"/>
        <rFont val="Times New Roman"/>
        <family val="1"/>
      </rPr>
      <t>EYHLMNGANGYLTRVNGKYVYRVTKDPVSAVFGVISNGWGSAGAGFGPQH</t>
    </r>
  </si>
  <si>
    <t>MENNNYTVLSDEELQKIDGG</t>
  </si>
  <si>
    <t>EYHLMNGANGYLTRVNGKYVYRVTKDPVSAVFGVISNGWGSAGAGFGPQH</t>
  </si>
  <si>
    <t>Lactococcus petauri</t>
  </si>
  <si>
    <t>B1726</t>
  </si>
  <si>
    <t>10.1186/s12934-022-01952-9</t>
  </si>
  <si>
    <t>Garvicin Q: characterization of biosynthesis and mode of action</t>
  </si>
  <si>
    <t>Bac_241</t>
  </si>
  <si>
    <t>Enterocin 96</t>
  </si>
  <si>
    <r>
      <rPr>
        <sz val="10"/>
        <color theme="0" tint="-0.34998626667073579"/>
        <rFont val="Times New Roman"/>
        <family val="1"/>
      </rPr>
      <t>MLNKKLLENGVVNAVTIDELDAQFGG</t>
    </r>
    <r>
      <rPr>
        <sz val="10"/>
        <color theme="1"/>
        <rFont val="Times New Roman"/>
        <family val="1"/>
      </rPr>
      <t>MSKRDCNLMKACCAGQAVTYAIHSLLNRLGGDSSDPAGCNDIVRKYCK</t>
    </r>
  </si>
  <si>
    <t>MLNKKLLENGVVNAVTIDELDAQFGG</t>
  </si>
  <si>
    <t>MSKRDCNLMKACCAGQAVTYAIHSLLNRLGGDSSDPAGCNDIVRKYCK</t>
  </si>
  <si>
    <t xml:space="preserve">Enterococcus faecalis </t>
  </si>
  <si>
    <t>WHE 96</t>
  </si>
  <si>
    <t>FJ769024</t>
  </si>
  <si>
    <t>10.1128/AEM.02772-08</t>
  </si>
  <si>
    <t xml:space="preserve">C1JZW6 </t>
  </si>
  <si>
    <t>Enterocin 96, a novel class II bacteriocin produced by Enterococcus faecalis WHE 96, isolated from Munster cheese</t>
  </si>
  <si>
    <t>Bac_242</t>
  </si>
  <si>
    <t>Garvieacin Q</t>
  </si>
  <si>
    <r>
      <rPr>
        <sz val="10"/>
        <color theme="0" tint="-0.34998626667073579"/>
        <rFont val="Times New Roman"/>
        <family val="1"/>
      </rPr>
      <t>MENKNYTVLSDEELQKIDGG</t>
    </r>
    <r>
      <rPr>
        <sz val="10"/>
        <color theme="1"/>
        <rFont val="Times New Roman"/>
        <family val="1"/>
      </rPr>
      <t>EYHLMNGANGYLTRVNGKYVYRVTKDPVSAVFGVISNGWGSAGAGFGPQH</t>
    </r>
  </si>
  <si>
    <t>MENKNYTVLSDEELQKIDGG</t>
  </si>
  <si>
    <t>BCC 43578</t>
  </si>
  <si>
    <t>JN605800</t>
  </si>
  <si>
    <t>10.1128/AEM.06891-11</t>
  </si>
  <si>
    <t>Garvieacin Q, a novel class II bacteriocin from Lactococcus garvieae BCC 43578</t>
  </si>
  <si>
    <t>Bac_243</t>
  </si>
  <si>
    <t>Garvicin A</t>
  </si>
  <si>
    <r>
      <rPr>
        <sz val="10"/>
        <color theme="0" tint="-0.34998626667073579"/>
        <rFont val="Times New Roman"/>
        <family val="1"/>
      </rPr>
      <t>MENNNYTVLSDEELQKIDGG</t>
    </r>
    <r>
      <rPr>
        <sz val="10"/>
        <color theme="1"/>
        <rFont val="Times New Roman"/>
        <family val="1"/>
      </rPr>
      <t>IGGALGNALNGLGTWANMMNGGGFVNQWQVYANKGKINQYRPY</t>
    </r>
  </si>
  <si>
    <t>IGGALGNALNGLGTWANMMNGGGFVNQWQVYANKGKINQYRPY</t>
  </si>
  <si>
    <t>10.1128/AEM.00830-13</t>
  </si>
  <si>
    <t>Garvicin A, a novel class IId bacteriocin from Lactococcus garvieae that inhibits septum formation in L. garvieae strains</t>
  </si>
  <si>
    <t>Bac_244</t>
  </si>
  <si>
    <t>Garvicin B</t>
  </si>
  <si>
    <r>
      <rPr>
        <sz val="10"/>
        <color theme="6"/>
        <rFont val="Times New Roman"/>
        <family val="1"/>
      </rPr>
      <t>MDNKSYVELSNEELQKINGG</t>
    </r>
    <r>
      <rPr>
        <sz val="10"/>
        <color theme="1"/>
        <rFont val="Times New Roman"/>
        <family val="1"/>
      </rPr>
      <t>IGGALGNALAGLGNGLKQWNTTGFSEYNIGGGKVNNGKAPTSIPAYNPYGH</t>
    </r>
  </si>
  <si>
    <t>MDNKSYVELSNEELQKINGG</t>
  </si>
  <si>
    <t>IGGALGNALAGLGNGLKQWNTTGFSEYNIGGGKVNNGKAPTSIPAYNPYGH</t>
  </si>
  <si>
    <t>10.1038/s41598-018-34087-2; 10.3390/ijms23094685</t>
  </si>
  <si>
    <t>The extracellular loop of Man-PTS subunit IID is responsible for the sensitivity of Lactococcus garvieae to garvicins A, B and C</t>
  </si>
  <si>
    <t>Bac_245</t>
  </si>
  <si>
    <t>Garvicin C</t>
  </si>
  <si>
    <r>
      <rPr>
        <sz val="10"/>
        <color theme="6"/>
        <rFont val="Times New Roman"/>
        <family val="1"/>
      </rPr>
      <t>MELNKKYKALTNEEARTVIGG</t>
    </r>
    <r>
      <rPr>
        <sz val="10"/>
        <color theme="1"/>
        <rFont val="Times New Roman"/>
        <family val="1"/>
      </rPr>
      <t>HWIGDVLGAIGGAAHPVNPQKVVDQLNGKPAIKPHSCSPYGTGGTPNSCNW</t>
    </r>
  </si>
  <si>
    <t>MELNKKYKALTNEEARTVIGG</t>
  </si>
  <si>
    <t>HWIGDVLGAIGGAAHPVNPQKVVDQLNGKPAIKPHSCSPYGTGGTPNSCNW</t>
  </si>
  <si>
    <t>Bac_246</t>
  </si>
  <si>
    <t>BacSJ</t>
  </si>
  <si>
    <t>Bacteriocin SJ</t>
  </si>
  <si>
    <r>
      <rPr>
        <sz val="10"/>
        <color theme="6"/>
        <rFont val="Times New Roman"/>
        <family val="1"/>
      </rPr>
      <t>MLSYKELDTAKLQEISGG</t>
    </r>
    <r>
      <rPr>
        <sz val="10"/>
        <color theme="1"/>
        <rFont val="Times New Roman"/>
        <family val="1"/>
      </rPr>
      <t>YSYFGGSNGYSWRDKRGHWHYTVTKGGFETVIGIIGDGWGSAGAPGPGQH</t>
    </r>
  </si>
  <si>
    <t>MLSYKELDTAKLQEISGG</t>
  </si>
  <si>
    <t>YSYFGGSNGYSWRDKRGHWHYTVTKGGFETVIGIIGDGWGSAGAPGPGQH</t>
  </si>
  <si>
    <t>Lactobacillus paracasei subsp. Paracasei</t>
  </si>
  <si>
    <t xml:space="preserve">BacSJ </t>
  </si>
  <si>
    <t>CAR92206</t>
  </si>
  <si>
    <t>10.3390/ijms21217860</t>
  </si>
  <si>
    <t>BacSJ-Another Bacteriocin with Distinct Spectrum of Activity that Targets Man-PTS</t>
  </si>
  <si>
    <t>Bac_247</t>
  </si>
  <si>
    <t>Lactococcin 972</t>
  </si>
  <si>
    <r>
      <rPr>
        <sz val="10"/>
        <color theme="0" tint="-0.34998626667073579"/>
        <rFont val="Times New Roman"/>
        <family val="1"/>
      </rPr>
      <t>MKTKSLVLALSAVTLFSAGGIVAQA</t>
    </r>
    <r>
      <rPr>
        <sz val="10"/>
        <color theme="1"/>
        <rFont val="Times New Roman"/>
        <family val="1"/>
      </rPr>
      <t>EGTWQHGYGVSSAYSNYHHGSKTHSATVVNNNTGRQGKDTQRAGVWAKATVGRNLTEKASFYYNFW</t>
    </r>
  </si>
  <si>
    <t>MKTKSLVLALSAVTLFSAGGIVAQA</t>
  </si>
  <si>
    <t>EGTWQHGYGVSSAYSNYHHGSKTHSATVVNNNTGRQGKDTQRAGVWAKATVGRNLTEKASFYYNFW</t>
  </si>
  <si>
    <t>IPLA 972</t>
  </si>
  <si>
    <t>AJ002203</t>
  </si>
  <si>
    <t>10.1099/00221287-145-11-3155</t>
  </si>
  <si>
    <t>2LGN</t>
  </si>
  <si>
    <t>O86283</t>
  </si>
  <si>
    <t>Synthesis of lactococcin 972, a bacteriocin produced by Lactococcus lactis IPLA 972, depends on the expression of a plasmid-encoded bicistronic operon</t>
  </si>
  <si>
    <t>Bac_248</t>
  </si>
  <si>
    <t>Sil</t>
  </si>
  <si>
    <r>
      <rPr>
        <sz val="10"/>
        <color theme="6"/>
        <rFont val="Times New Roman"/>
        <family val="1"/>
      </rPr>
      <t>MKKISKIWAVGLVAASLSFGSIAYA</t>
    </r>
    <r>
      <rPr>
        <sz val="10"/>
        <color theme="1"/>
        <rFont val="Times New Roman"/>
        <family val="1"/>
      </rPr>
      <t>ESISVAGGTWNYGYGVGQAYSHYKHDYNNHGAKVVNSNNGVKDYKNAGPGVWAKASIGTVWDPATFYYNPTGFYSN</t>
    </r>
  </si>
  <si>
    <t>MKKISKIWAVGLVAASLSFGSIAYA</t>
  </si>
  <si>
    <t>ESISVAGGTWNYGYGVGQAYSHYKHDYNNHGAKVVNSNNGVKDYKNAGPGVWAKASIGTVWDPATFYYNPTGFYSN</t>
  </si>
  <si>
    <t>Streptococcus iniae</t>
  </si>
  <si>
    <t>10.1371/journal.pone.0096222</t>
  </si>
  <si>
    <t>A0A3L8GM41</t>
  </si>
  <si>
    <t>Sil: a Streptococcus iniae bacteriocin with dual role as an antimicrobial and an immunomodulator that inhibits innate immune response and promotes S. iniae infection</t>
  </si>
  <si>
    <t>Bac_249</t>
  </si>
  <si>
    <t>Lactococcin A</t>
  </si>
  <si>
    <r>
      <rPr>
        <sz val="10"/>
        <color theme="0" tint="-0.34998626667073579"/>
        <rFont val="Times New Roman"/>
        <family val="1"/>
      </rPr>
      <t>MKNQLNFNIVSDEELSEANGG</t>
    </r>
    <r>
      <rPr>
        <sz val="10"/>
        <color theme="1"/>
        <rFont val="Times New Roman"/>
        <family val="1"/>
      </rPr>
      <t>KLTFIQSTAAGDLYYNTNTHKYVYQQTQNAFGAAANTIVNGWMGGAAGGFGLHH</t>
    </r>
  </si>
  <si>
    <t>MKNQLNFNIVSDEELSEANGG</t>
  </si>
  <si>
    <t>KLTFIQSTAAGDLYYNTNTHKYVYQQTQNAFGAAANTIVNGWMGGAAGGFGLHH</t>
  </si>
  <si>
    <t>LMG 2130</t>
  </si>
  <si>
    <t>M63675</t>
  </si>
  <si>
    <t>10.1128/jb.173.12.3879-3887.1991</t>
  </si>
  <si>
    <t>P0A313</t>
  </si>
  <si>
    <t>Lactococcin A, a new bacteriocin from Lactococcus lactis subsp. cremoris: isolation and characterization of the protein and its gene</t>
  </si>
  <si>
    <t>Bac_250</t>
  </si>
  <si>
    <t>Lactococcin B</t>
  </si>
  <si>
    <t>IId</t>
  </si>
  <si>
    <r>
      <rPr>
        <sz val="10"/>
        <color theme="0" tint="-0.34998626667073579"/>
        <rFont val="Times New Roman"/>
        <family val="1"/>
      </rPr>
      <t>MKNQLNFNIVSDEELAEVNGG</t>
    </r>
    <r>
      <rPr>
        <sz val="10"/>
        <color theme="1"/>
        <rFont val="Times New Roman"/>
        <family val="1"/>
      </rPr>
      <t>SLQYVMSAGPYTWYKDTRTGKTICKQTIDTASYTFGVMAEGWGKTFH</t>
    </r>
  </si>
  <si>
    <t>MKNQLNFNIVSDEELAEVNGG</t>
  </si>
  <si>
    <t>SLQYVMSAGPYTWYKDTRTGKTICKQTIDTASYTFGVMAEGWGKTFH</t>
  </si>
  <si>
    <t>10.1128/aem.58.2.572-577.1992</t>
  </si>
  <si>
    <t>P35518</t>
  </si>
  <si>
    <t>Cloning, sequencing, and expression in Escherichia coli of lcnB, a third bacteriocin determinant from the lactococcal bacteriocin plasmid p9B4-6</t>
  </si>
  <si>
    <t>Bac_251</t>
  </si>
  <si>
    <t>Lactococcin Z</t>
  </si>
  <si>
    <r>
      <rPr>
        <sz val="10"/>
        <color theme="6"/>
        <rFont val="Times New Roman"/>
        <family val="1"/>
      </rPr>
      <t>MKNNSKNLNLFQSLDDEQLGKITGG</t>
    </r>
    <r>
      <rPr>
        <sz val="10"/>
        <color theme="1"/>
        <rFont val="Times New Roman"/>
        <family val="1"/>
      </rPr>
      <t>ALQFIQNTASGALYYNTKTHKYQYQQTSGAMGAAINVFNQQGINW</t>
    </r>
  </si>
  <si>
    <t>MKNNSKNLNLFQSLDDEQLGKITGG</t>
  </si>
  <si>
    <t>ALQFIQNTASGALYYNTKTHKYQYQQTSGAMGAAINVFNQQGINW</t>
  </si>
  <si>
    <t>QU 7</t>
  </si>
  <si>
    <t>LC020250</t>
  </si>
  <si>
    <t>10.1007/s12602-015-9196-4</t>
  </si>
  <si>
    <t>Identification of Lactococcus-Specific Bacteriocins Produced by Lactococcal Isolates, and the Discovery of a Novel Bacteriocin, Lactococcin Z</t>
  </si>
  <si>
    <t>Bac_252</t>
  </si>
  <si>
    <t>Mesenterocin 52B</t>
  </si>
  <si>
    <r>
      <rPr>
        <sz val="10"/>
        <color theme="0" tint="-0.34998626667073579"/>
        <rFont val="Times New Roman"/>
        <family val="1"/>
      </rPr>
      <t>MQDKTNFKILSDSELSTISGG</t>
    </r>
    <r>
      <rPr>
        <sz val="10"/>
        <color theme="1"/>
        <rFont val="Times New Roman"/>
        <family val="1"/>
      </rPr>
      <t>KGVLGWLSMASSALTGPQQPNSPWLAKIKNHK</t>
    </r>
  </si>
  <si>
    <t>MQDKTNFKILSDSELSTISGG</t>
  </si>
  <si>
    <t>KGVLGWLSMASSALTGPQQPNSPWLAKIKNHK</t>
  </si>
  <si>
    <t>Leuconostoc mesenteroides subsp. mesenteroides</t>
    <phoneticPr fontId="5" type="noConversion"/>
  </si>
  <si>
    <t>Bac_253</t>
  </si>
  <si>
    <t>Enterocin B</t>
  </si>
  <si>
    <r>
      <rPr>
        <sz val="10"/>
        <color theme="0" tint="-0.34998626667073579"/>
        <rFont val="Times New Roman"/>
        <family val="1"/>
      </rPr>
      <t>MQNVKELSTKEMKQIIGG</t>
    </r>
    <r>
      <rPr>
        <sz val="10"/>
        <color theme="1"/>
        <rFont val="Times New Roman"/>
        <family val="1"/>
      </rPr>
      <t>ENDHRMPNELNRPNNLSKGGAKCGAAIAGGLFGIPKGPLAWAAGLANVYSKCN</t>
    </r>
  </si>
  <si>
    <t>MQNVKELSTKEMKQIIGG</t>
  </si>
  <si>
    <t>ENDHRMPNELNRPNNLSKGGAKCGAAIAGGLFGIPKGPLAWAAGLANVYSKCN</t>
  </si>
  <si>
    <t>T136</t>
  </si>
  <si>
    <t>U87997</t>
  </si>
  <si>
    <t>10.1016/j.ijbiomac.2018.05.002</t>
  </si>
  <si>
    <t>Cloning, overexpression, purification of bacteriocin enterocin-B and structural analysis, interaction determination of enterocin-A, B against pathogenic bacteria and human cancer cells</t>
  </si>
  <si>
    <t>Bac_254</t>
  </si>
  <si>
    <t>Durancin TW-49M</t>
  </si>
  <si>
    <r>
      <rPr>
        <sz val="10"/>
        <color theme="6"/>
        <rFont val="Times New Roman"/>
        <family val="1"/>
      </rPr>
      <t>MQTIKELNTMELQKIIGG</t>
    </r>
    <r>
      <rPr>
        <sz val="10"/>
        <color theme="1"/>
        <rFont val="Times New Roman"/>
        <family val="1"/>
      </rPr>
      <t>ENDHRMPYELNRPNNLSKGGAKCAAGILGAGLGAVGGGPGGFISAGISAVLGCM</t>
    </r>
  </si>
  <si>
    <t>MQTIKELNTMELQKIIGG</t>
  </si>
  <si>
    <t>ENDHRMPYELNRPNNLSKGGAKCAAGILGAGLGAVGGGPGGFISAGISAVLGCM</t>
  </si>
  <si>
    <t>Enterococcus durans</t>
  </si>
  <si>
    <t>QU 49</t>
  </si>
  <si>
    <t>AB296366</t>
  </si>
  <si>
    <t>10.1111/j.1365-2672.2008.03798.x</t>
  </si>
  <si>
    <t>Description of durancin TW-49M, a novel enterocin B-homologous bacteriocin in carrot-isolated Enterococcus durans QU 49</t>
  </si>
  <si>
    <t>Bac_255</t>
  </si>
  <si>
    <t>Divergicin A</t>
  </si>
  <si>
    <r>
      <rPr>
        <sz val="10"/>
        <color theme="0" tint="-0.34998626667073579"/>
        <rFont val="Times New Roman"/>
        <family val="1"/>
      </rPr>
      <t>MKKQILKGLVIVVCLSGATFFSTPQQASA</t>
    </r>
    <r>
      <rPr>
        <sz val="10"/>
        <color theme="1"/>
        <rFont val="Times New Roman"/>
        <family val="1"/>
      </rPr>
      <t>AAPKITQKQKNCVNGQLGGMLAGALGGPGGVVLGGIGGAIAGGCFN</t>
    </r>
  </si>
  <si>
    <t>MKKQILKGLVIVVCLSGATFFSTPQQASA</t>
  </si>
  <si>
    <t>AAPKITQKQKNCVNGQLGGMLAGALGGPGGVVLGGIGGAIAGGCFN</t>
  </si>
  <si>
    <t>LV13</t>
  </si>
  <si>
    <t>L37791</t>
  </si>
  <si>
    <t>10.1128/jb.177.11.3143-3149.1995</t>
  </si>
  <si>
    <t>A signal peptide secretion-dependent bacteriocin from Carnobacterium divergens</t>
  </si>
  <si>
    <t>Bac_256</t>
  </si>
  <si>
    <t>Carnobacteriocin A</t>
  </si>
  <si>
    <t>Piscicolin 61</t>
  </si>
  <si>
    <r>
      <rPr>
        <sz val="10"/>
        <color theme="0" tint="-0.34998626667073579"/>
        <rFont val="Times New Roman"/>
        <family val="1"/>
      </rPr>
      <t>MNNVKELSIKEMQQVTGG</t>
    </r>
    <r>
      <rPr>
        <sz val="10"/>
        <color theme="1"/>
        <rFont val="Times New Roman"/>
        <family val="1"/>
      </rPr>
      <t>DQMSDGVNYGKGSSLSKGGAKCGLGIVGGLATIPSGPLGWLAGAAGVINSCMK</t>
    </r>
  </si>
  <si>
    <t>MNNVKELSIKEMQQVTGG</t>
  </si>
  <si>
    <t>DQMSDGVNYGKGSSLSKGGAKCGLGIVGGLATIPSGPLGWLAGAAGVINSCMK</t>
  </si>
  <si>
    <t>LV17A</t>
  </si>
  <si>
    <t>L23112</t>
  </si>
  <si>
    <t>10.1099/00221287-140-3-517</t>
  </si>
  <si>
    <t xml:space="preserve">P38578 </t>
  </si>
  <si>
    <t>Characteristics and genetic determinant of a hydrophobic peptide bacteriocin, carnobacteriocin A, produced by Carnobacterium piscicola LV17A</t>
  </si>
  <si>
    <t>Bac_257</t>
  </si>
  <si>
    <t>Gassericin E</t>
  </si>
  <si>
    <r>
      <rPr>
        <sz val="10"/>
        <color theme="0" tint="-0.34998626667073579"/>
        <rFont val="Times New Roman"/>
        <family val="1"/>
      </rPr>
      <t>MKNFNTLSFETLANIVGG</t>
    </r>
    <r>
      <rPr>
        <sz val="10"/>
        <color theme="1"/>
        <rFont val="Times New Roman"/>
        <family val="1"/>
      </rPr>
      <t>RNNLAANIGGVGGATVAGWALGNAVCGPACGFVGAHYVPIAWAGVTAATGGFGKIRK</t>
    </r>
  </si>
  <si>
    <t>RNNLAANIGGVGGATVAGWALGNAVCGPACGFVGAHYVPIAWAGVTAATGGFGKIRK</t>
  </si>
  <si>
    <t>Lactobacillus gasseri</t>
    <phoneticPr fontId="5" type="noConversion"/>
  </si>
  <si>
    <t>EV1461</t>
  </si>
  <si>
    <t>10.1186/s12866-016-0663-1</t>
  </si>
  <si>
    <t>Purification and genetic characterization of gassericin E, a novel co-culture inducible bacteriocin from Lactobacillus gasseri EV1461 isolated from the vagina of a healthy woman</t>
  </si>
  <si>
    <t>Bac_258</t>
  </si>
  <si>
    <t>Mutacin V</t>
    <phoneticPr fontId="5" type="noConversion"/>
  </si>
  <si>
    <r>
      <rPr>
        <sz val="10"/>
        <color theme="0" tint="-0.34998626667073579"/>
        <rFont val="Times New Roman"/>
        <family val="1"/>
      </rPr>
      <t>MNTQAFEQFNVMDNEALSAVEGG</t>
    </r>
    <r>
      <rPr>
        <sz val="10"/>
        <color theme="1"/>
        <rFont val="Times New Roman"/>
        <family val="1"/>
      </rPr>
      <t>GRGWNCAAGIALGAGQGYMATAGGTAFLGPYAIGTGAFGAIAGGIGGALNSCG</t>
    </r>
  </si>
  <si>
    <t>MNTQAFEQFNVMDNEALSAVEGG</t>
  </si>
  <si>
    <t>GRGWNCAAGIALGAGQGYMATAGGTAFLGPYAIGTGAFGAIAGGIGGALNSCG</t>
  </si>
  <si>
    <t>Streptococcus mutans</t>
    <phoneticPr fontId="5" type="noConversion"/>
  </si>
  <si>
    <t>10.1128/AEM.71.11.7613-7617.2005</t>
  </si>
  <si>
    <t>Bacteriocin (mutacin) production by Streptococcus mutans genome sequence reference strain UA159: elucidation of the antimicrobial repertoire by genetic dissection</t>
  </si>
  <si>
    <t>Bac_259</t>
  </si>
  <si>
    <t>Bactofencin A</t>
  </si>
  <si>
    <r>
      <t>MFFNFMKKVDVKKNFGYKEVSRKDLAKVNGG</t>
    </r>
    <r>
      <rPr>
        <sz val="10"/>
        <color theme="1"/>
        <rFont val="Times New Roman"/>
        <family val="1"/>
      </rPr>
      <t>KRKKHRCRVYNNGMPTGMYRWC</t>
    </r>
  </si>
  <si>
    <t>MFFNFMKKVDVKKNFGYKEVSRKDLAKVNGG</t>
  </si>
  <si>
    <t>KRKKHRCRVYNNGMPTGMYRWC</t>
  </si>
  <si>
    <t>Lactobacillus salivarius</t>
    <phoneticPr fontId="5" type="noConversion"/>
  </si>
  <si>
    <t>DPC6502</t>
  </si>
  <si>
    <t>10.1128/mBio.00498-13</t>
  </si>
  <si>
    <t>Bactofencin A, a new type of cationic bacteriocin with unusual immunity</t>
  </si>
  <si>
    <t>Bac_260</t>
  </si>
  <si>
    <t>Plantaricin A</t>
  </si>
  <si>
    <r>
      <t>MKIQIKGMKQLSNKEMQKIVGG</t>
    </r>
    <r>
      <rPr>
        <sz val="10"/>
        <color theme="1"/>
        <rFont val="Times New Roman"/>
        <family val="1"/>
      </rPr>
      <t>KSSAYSLQMGATAIKQVKKLFKKWGW</t>
    </r>
  </si>
  <si>
    <t>MKIQIKGMKQLSNKEMQKIVGG</t>
  </si>
  <si>
    <t>KSSAYSLQMGATAIKQVKKLFKKWGW</t>
  </si>
  <si>
    <t>Lactobacillus plantarum</t>
    <phoneticPr fontId="5" type="noConversion"/>
  </si>
  <si>
    <t>X75323</t>
  </si>
  <si>
    <t>10.1128/aem.60.1.160-166.1994</t>
  </si>
  <si>
    <t>The gene encoding plantaricin A, a bacteriocin from Lactobacillus plantarum C11, is located on the same transcription unit as an agr-like regulatory system</t>
  </si>
  <si>
    <t>Bac_261</t>
  </si>
  <si>
    <t>Divergicin 750</t>
  </si>
  <si>
    <r>
      <t>MIKREKNRTISSLGYEEISNHKLQEIQGG</t>
    </r>
    <r>
      <rPr>
        <sz val="10"/>
        <color theme="1"/>
        <rFont val="Times New Roman"/>
        <family val="1"/>
      </rPr>
      <t>KGILGKLGVVQAGVDFVSGVWAGIKQSAKDHPNA</t>
    </r>
  </si>
  <si>
    <t>MIKREKNRTISSLGYEEISNHKLQEIQGG</t>
  </si>
  <si>
    <t>KGILGKLGVVQAGVDFVSGVWAGIKQSAKDHPNA</t>
  </si>
  <si>
    <t xml:space="preserve">Carnobacterium divergens </t>
  </si>
  <si>
    <t>Z54201</t>
  </si>
  <si>
    <t>10.1111/j.1574-6968.1996.tb08043.x</t>
  </si>
  <si>
    <t>Divergicin 750, a novel bacteriocin produced by Carnobacterium divergens 750</t>
  </si>
  <si>
    <t>Bac_262</t>
  </si>
  <si>
    <t>Acidocin 8912</t>
  </si>
  <si>
    <r>
      <t>MISSHQKTLTDKELALISGG</t>
    </r>
    <r>
      <rPr>
        <sz val="10"/>
        <color theme="1"/>
        <rFont val="Times New Roman"/>
        <family val="1"/>
      </rPr>
      <t>KTHYPTNAWKSLWKGFWESLRYTDGF</t>
    </r>
  </si>
  <si>
    <t>MISSHQKTLTDKELALISGG</t>
  </si>
  <si>
    <t>KTHYPTNAWKSLWKGFWESLRYTDGF</t>
  </si>
  <si>
    <t>Lactobacillus acidophilus</t>
    <phoneticPr fontId="5" type="noConversion"/>
  </si>
  <si>
    <t>TK8912</t>
  </si>
  <si>
    <t>D43626</t>
  </si>
  <si>
    <t>10.1111/j.1472-765X.1995.tb01087.x</t>
  </si>
  <si>
    <t>Cloning and nucleotide sequence of the gene for acidocin 8912, a bacteriocin from Lactobacillus acidophilus TK8912</t>
  </si>
  <si>
    <t>Bac_263</t>
  </si>
  <si>
    <t>Ubericin K</t>
  </si>
  <si>
    <r>
      <t>MKTKSSKQFTELTVKDLSAVIGG</t>
    </r>
    <r>
      <rPr>
        <sz val="10"/>
        <color theme="1"/>
        <rFont val="Times New Roman"/>
        <family val="1"/>
      </rPr>
      <t>AKGVCKYVYPGSNGYACRYPNGEWGYIVTKSNFEATKDVIVNGWVSSLGGGYFHGNRG</t>
    </r>
  </si>
  <si>
    <t>MKTKSSKQFTELTVKDLSAVIGG</t>
  </si>
  <si>
    <t>AKGVCKYVYPGSNGYACRYPNGEWGYIVTKSNFEATKDVIVNGWVSSLGGGYFHGNRG</t>
  </si>
  <si>
    <t>MZ189362</t>
  </si>
  <si>
    <t>10.1128/Spectrum.00299-21</t>
  </si>
  <si>
    <t>Ubericin K, a New Pore-Forming Bacteriocin Targeting mannose-PTS</t>
  </si>
  <si>
    <t>Bac_264</t>
  </si>
  <si>
    <r>
      <t>MLSYKELDTAKLQEISGG</t>
    </r>
    <r>
      <rPr>
        <sz val="10"/>
        <color theme="1"/>
        <rFont val="Times New Roman"/>
        <family val="1"/>
      </rPr>
      <t>YSYFGGSNGYSWRDKRGHWHYTVTKGGFETVIGIIGDGWGSAGAPGPGQH</t>
    </r>
  </si>
  <si>
    <t>BGSJ2-8</t>
  </si>
  <si>
    <t>10.1007/s00284-007-0159-1; 10.1128/Spectrum.00299-21</t>
  </si>
  <si>
    <t>Molecular characterization of a novel bacteriocin and an unusually large aggregation factor of Lactobacillus paracasei subsp. paracasei BGSJ2-8, a natural isolate from homemade cheese</t>
  </si>
  <si>
    <t>Bac_265</t>
  </si>
  <si>
    <t>Cerein 7B</t>
  </si>
  <si>
    <r>
      <t>MENLQMLTEEELMEIEGG</t>
    </r>
    <r>
      <rPr>
        <sz val="10"/>
        <color theme="1"/>
        <rFont val="Times New Roman"/>
        <family val="1"/>
      </rPr>
      <t>GWWNSWGKCVAGTIGGAGTGGLGGAAGSAVPVIGTGIGGAIGGVSGGLTGAATFC</t>
    </r>
  </si>
  <si>
    <t>MENLQMLTEEELMEIEGG</t>
  </si>
  <si>
    <t>GWWNSWGKCVAGTIGGAGTGGLGGAAGSAVPVIGTGIGGAIGGVSGGLTGAATFC</t>
  </si>
  <si>
    <t>Bacillus cereus</t>
    <phoneticPr fontId="5" type="noConversion"/>
  </si>
  <si>
    <t>Bc7</t>
  </si>
  <si>
    <t>AM087432</t>
  </si>
  <si>
    <t>10.1111/j.1574-6968.2005.00009.x</t>
  </si>
  <si>
    <t>Purification and sequencing of cerein 7B, a novel bacteriocin produced by Bacillus cereus Bc7</t>
  </si>
  <si>
    <t>Bac_266</t>
  </si>
  <si>
    <t>Amylovorin L amyLb</t>
  </si>
  <si>
    <r>
      <rPr>
        <sz val="10"/>
        <color theme="6"/>
        <rFont val="Times New Roman"/>
        <family val="1"/>
      </rPr>
      <t>MKQLNSEQLQNIIGG</t>
    </r>
    <r>
      <rPr>
        <sz val="10"/>
        <color theme="1"/>
        <rFont val="Times New Roman"/>
        <family val="1"/>
      </rPr>
      <t>NRWTNAYSAALGCAVPGVKYGKKLGGVWGAVIGGVGGAAVCGLAGYVRKG</t>
    </r>
  </si>
  <si>
    <t>Lactobacillus amylovorus</t>
    <phoneticPr fontId="5" type="noConversion"/>
  </si>
  <si>
    <t>LMG P-13139</t>
  </si>
  <si>
    <t>10.1016/s0168-1605(03)00298-8</t>
  </si>
  <si>
    <t>P80696</t>
  </si>
  <si>
    <t>The lactobin A and amylovorin L471 encoding genes are identical, and their distribution seems to be restricted to the species Lactobacillus amylovorus that is of interest for cereal fermentations</t>
  </si>
  <si>
    <t>Bac_267</t>
  </si>
  <si>
    <t>paraplantaricin C7</t>
  </si>
  <si>
    <r>
      <rPr>
        <sz val="10"/>
        <color theme="6"/>
        <rFont val="Times New Roman"/>
        <family val="1"/>
      </rPr>
      <t>MKKFKELKENELTAITGG</t>
    </r>
    <r>
      <rPr>
        <sz val="10"/>
        <color theme="1"/>
        <rFont val="Times New Roman"/>
        <family val="1"/>
      </rPr>
      <t>SFVGYYLGRFLASATHYYGKTVTKGHMHSSTINN</t>
    </r>
  </si>
  <si>
    <t>MKKFKELKENELTAITGG</t>
  </si>
  <si>
    <t>SFVGYYLGRFLASATHYYGKTVTKGHMHSSTINN</t>
  </si>
  <si>
    <t>Lactobacillus paraplantarum</t>
  </si>
  <si>
    <t xml:space="preserve">C7 </t>
  </si>
  <si>
    <t>Characterization of paraplantaricin C7, a novel bacteriocin produced by Lactobacillus paraplantarum C7 isolated from kimchi</t>
  </si>
  <si>
    <t>Bac_268</t>
  </si>
  <si>
    <t>Cerein 7A (Cerein 7)</t>
  </si>
  <si>
    <t>GWGDVLCVAGTIGGAGTGGLGGAAAGSAVPVIGTGIGGAIGGVSGGLTGAATFC</t>
  </si>
  <si>
    <t>10.1046/j.1365-2672.2000.01123.x</t>
  </si>
  <si>
    <t>Characterization and mechanism of action of cerein 7, a bacteriocin produced by Bacillus cereus Bc7</t>
  </si>
  <si>
    <t>Unclear leader sequence</t>
  </si>
  <si>
    <t>Bac_269</t>
  </si>
  <si>
    <t>Plantaricin ZJ5</t>
  </si>
  <si>
    <r>
      <rPr>
        <sz val="10"/>
        <color theme="6"/>
        <rFont val="Times New Roman"/>
        <family val="1"/>
      </rPr>
      <t>MSLVKENKTLVDELIAQITFGG</t>
    </r>
    <r>
      <rPr>
        <sz val="10"/>
        <color theme="1"/>
        <rFont val="Times New Roman"/>
        <family val="1"/>
      </rPr>
      <t>KTKQQFLIKAQTQLFKVFGYTL</t>
    </r>
  </si>
  <si>
    <t>MSLVKENKTLVDELIAQITFGG</t>
  </si>
  <si>
    <t>KTKQQFLIKAQTQLFKVFGYTL</t>
  </si>
  <si>
    <t>ZJ5</t>
  </si>
  <si>
    <t>KF032708</t>
  </si>
  <si>
    <t>10.1371/journal.pone.0105549</t>
  </si>
  <si>
    <t>Purification and characterization of Plantaricin ZJ5, a new bacteriocin produced by Lactobacillus plantarum ZJ5</t>
  </si>
  <si>
    <t>Bac_270</t>
  </si>
  <si>
    <t>Sakacin D98a</t>
  </si>
  <si>
    <r>
      <rPr>
        <sz val="10"/>
        <color theme="6"/>
        <rFont val="Times New Roman"/>
        <family val="1"/>
      </rPr>
      <t>MEEIIMNKFKELSNLKLKKVSGG</t>
    </r>
    <r>
      <rPr>
        <sz val="10"/>
        <color theme="1"/>
        <rFont val="Times New Roman"/>
        <family val="1"/>
      </rPr>
      <t>SFVGTTIGKIIGHSITHYGNMVSQQHLHKSPING</t>
    </r>
  </si>
  <si>
    <t>MEEIIMNKFKELSNLKLKKVSGG</t>
  </si>
  <si>
    <t>SFVGTTIGKIIGHSITHYGNMVSQQHLHKSPING</t>
  </si>
  <si>
    <t>AB771452</t>
  </si>
  <si>
    <t>Bac_271</t>
  </si>
  <si>
    <t>Sakacin D98c</t>
  </si>
  <si>
    <r>
      <rPr>
        <sz val="10"/>
        <color theme="6"/>
        <rFont val="Times New Roman"/>
        <family val="1"/>
      </rPr>
      <t>MEKYINIESRKLSSIKGG</t>
    </r>
    <r>
      <rPr>
        <sz val="10"/>
        <color theme="1"/>
        <rFont val="Times New Roman"/>
        <family val="1"/>
      </rPr>
      <t>AAKGFIGWLIGESDDIAKGIVSAMNSDNKKKHR</t>
    </r>
  </si>
  <si>
    <t>MEKYINIESRKLSSIKGG</t>
  </si>
  <si>
    <t>AAKGFIGWLIGESDDIAKGIVSAMNSDNKKKHR</t>
  </si>
  <si>
    <t>AB771453</t>
  </si>
  <si>
    <t>Bac_272</t>
  </si>
  <si>
    <t>Leucocin B (leucocin B-TA33a)</t>
  </si>
  <si>
    <r>
      <rPr>
        <sz val="10"/>
        <color theme="6"/>
        <rFont val="Times New Roman"/>
        <family val="1"/>
      </rPr>
      <t>MLNKDMRDFKQLSDNDLQAISGG</t>
    </r>
    <r>
      <rPr>
        <sz val="10"/>
        <color theme="1"/>
        <rFont val="Times New Roman"/>
        <family val="1"/>
      </rPr>
      <t>KGKGFWSWASKATSWLTGPQQPGSPLLKKHR</t>
    </r>
  </si>
  <si>
    <t>MLNKDMRDFKQLSDNDLQAISGG</t>
  </si>
  <si>
    <t>KGKGFWSWASKATSWLTGPQQPGSPLLKKHR</t>
  </si>
  <si>
    <t>10.1016/j.resmic.2015.04.003</t>
  </si>
  <si>
    <t>Genetic characterization and expression of leucocin B, a class IId bacteriocin from Leuconostoc carnosum 4010</t>
  </si>
  <si>
    <t>Bac_273</t>
  </si>
  <si>
    <t>Plantaricin Pln1</t>
  </si>
  <si>
    <r>
      <rPr>
        <sz val="10"/>
        <color theme="6"/>
        <rFont val="Times New Roman"/>
        <family val="1"/>
      </rPr>
      <t>MKNINNFQALQKNELSKVNGG</t>
    </r>
    <r>
      <rPr>
        <sz val="10"/>
        <color theme="1"/>
        <rFont val="Times New Roman"/>
        <family val="1"/>
      </rPr>
      <t>IWQWIVGGLGFLAGDAWSHSDQISSGIKKRKKKGYGY</t>
    </r>
  </si>
  <si>
    <t>MKNINNFQALQKNELSKVNGG</t>
  </si>
  <si>
    <t>IWQWIVGGLGFLAGDAWSHSDQISSGIKKRKKKGYGY</t>
  </si>
  <si>
    <t>10.1016/j.pep.2015.11.008</t>
  </si>
  <si>
    <t>Expression of a novel bacteriocin-the plantaricin Pln1-in Escherichia coli and its functional analysis</t>
  </si>
  <si>
    <t>CoMC family</t>
  </si>
  <si>
    <t>Bac_274</t>
  </si>
  <si>
    <t>Weissellicin 110</t>
  </si>
  <si>
    <r>
      <rPr>
        <sz val="10"/>
        <color theme="6"/>
        <rFont val="Times New Roman"/>
        <family val="1"/>
      </rPr>
      <t>MDKLSKFEDANLSTIVGG</t>
    </r>
    <r>
      <rPr>
        <sz val="10"/>
        <color theme="1"/>
        <rFont val="Times New Roman"/>
        <family val="1"/>
      </rPr>
      <t>SDKNNVFFQIGKRYVAPVLYWFGKGAEGIKG</t>
    </r>
  </si>
  <si>
    <t>MDKLSKFEDANLSTIVGG</t>
  </si>
  <si>
    <t>SDKNNVFFQIGKRYVAPVLYWFGKGAEGIKG</t>
  </si>
  <si>
    <t>Weissella cibaria</t>
  </si>
  <si>
    <t>LC010242</t>
  </si>
  <si>
    <t>10.15171/ijb.1159</t>
  </si>
  <si>
    <t>Detection and Characterization of Weissellicin 110, a Bacteriocin Produced by Weissella cibaria</t>
  </si>
  <si>
    <t>Bac_275</t>
  </si>
  <si>
    <t>Gassericin M</t>
  </si>
  <si>
    <r>
      <rPr>
        <sz val="10"/>
        <color theme="6"/>
        <rFont val="Times New Roman"/>
        <family val="1"/>
      </rPr>
      <t>MRKINKEELVEITGG</t>
    </r>
    <r>
      <rPr>
        <sz val="10"/>
        <color theme="1"/>
        <rFont val="Times New Roman"/>
        <family val="1"/>
      </rPr>
      <t>FNAAKCAVGTAGGAFSIARGSAAFGVPGMVIGGILGGAAGALASCK</t>
    </r>
  </si>
  <si>
    <t>MRKINKEELVEITGG</t>
  </si>
  <si>
    <t>FNAAKCAVGTAGGAFSIARGSAAFGVPGMVIGGILGGAAGALASCK</t>
  </si>
  <si>
    <t>Lactobacillus gasseri</t>
  </si>
  <si>
    <t>LM19</t>
  </si>
  <si>
    <t>10.1007/s00253-020-10493-3</t>
  </si>
  <si>
    <t>Production of multiple bacteriocins, including the novel bacteriocin gassericin M, by Lactobacillus gasseri LM19, a strain isolated from human milk</t>
  </si>
  <si>
    <t>Bac_276</t>
  </si>
  <si>
    <t>Garvicins AG1</t>
  </si>
  <si>
    <r>
      <rPr>
        <sz val="10"/>
        <color theme="6"/>
        <rFont val="Times New Roman"/>
        <family val="1"/>
      </rPr>
      <t>MENNNYTVLSDVELQKIDGG</t>
    </r>
    <r>
      <rPr>
        <sz val="10"/>
        <color theme="1"/>
        <rFont val="Times New Roman"/>
        <family val="1"/>
      </rPr>
      <t>GRETLAQDIKRVYDSIWPNDTAWYTGKNNKTNIPPYSPYGH</t>
    </r>
  </si>
  <si>
    <t>MENNNYTVLSDVELQKIDGG</t>
  </si>
  <si>
    <t>GRETLAQDIKRVYDSIWPNDTAWYTGKNNKTNIPPYSPYGH</t>
  </si>
  <si>
    <t>Lg-Granada</t>
  </si>
  <si>
    <t>10.3390/ijms23094685</t>
  </si>
  <si>
    <t>Garvicins AG1 and AG2: Two Novel Class IId Bacteriocins of Lactococcus garvieae Lg-Granada</t>
  </si>
  <si>
    <t>Bac_277</t>
  </si>
  <si>
    <t>Garvicins AG2</t>
  </si>
  <si>
    <r>
      <rPr>
        <sz val="10"/>
        <color theme="6"/>
        <rFont val="Times New Roman"/>
        <family val="1"/>
      </rPr>
      <t>MKKLNYEVLSDEELQKIDGS</t>
    </r>
    <r>
      <rPr>
        <sz val="10"/>
        <color theme="1"/>
        <rFont val="Times New Roman"/>
        <family val="1"/>
      </rPr>
      <t>GTPLFYGANGYLTRENGKYVYRVTKDPVSAVFGVISNGWGSAGAGFGPQH</t>
    </r>
  </si>
  <si>
    <t>MKKLNYEVLSDEELQKIDGS</t>
  </si>
  <si>
    <t>GTPLFYGANGYLTRENGKYVYRVTKDPVSAVFGVISNGWGSAGAGFGPQH</t>
  </si>
  <si>
    <t>GS</t>
  </si>
  <si>
    <t>Bac_278</t>
  </si>
  <si>
    <t>Propionicin T1</t>
  </si>
  <si>
    <r>
      <t>MKKTLLRSGTIALATAAAFGASLAAAPSAMA</t>
    </r>
    <r>
      <rPr>
        <sz val="10"/>
        <color theme="1"/>
        <rFont val="Times New Roman"/>
        <family val="1"/>
      </rPr>
      <t>VPGGCTYTRSNRDVIGTCKTGSGQFRIRLDCNNAPDKTSVWAKPKVMVSVHCLVGQPRSISFETK</t>
    </r>
  </si>
  <si>
    <t>MKKTLLRSGTIALATAAAFGASLAAAPSAMA</t>
  </si>
  <si>
    <t>VPGGCTYTRSNRDVIGTCKTGSGQFRIRLDCNNAPDKTSVWAKPKVMVSVHCLVGQPRSISFETK</t>
  </si>
  <si>
    <t>Propionibacterium thoenii</t>
    <phoneticPr fontId="5" type="noConversion"/>
  </si>
  <si>
    <t>AF294258</t>
  </si>
  <si>
    <t>10.1128/AEM.66.10.4230-4236.2000; 10.1016/j.ijfoodmicro.2003.09.004</t>
  </si>
  <si>
    <t>Biochemical and genetic characterization of propionicin T1, a new bacteriocin from Propionibacterium thoenii</t>
  </si>
  <si>
    <t>Identical to thoeniicin 447</t>
  </si>
  <si>
    <t>Bac_279</t>
  </si>
  <si>
    <t>Bacteriocin J46</t>
  </si>
  <si>
    <r>
      <rPr>
        <sz val="10"/>
        <color theme="6"/>
        <rFont val="Times New Roman"/>
        <family val="1"/>
      </rPr>
      <t>MKEQNSFNLLQEVTESELDLILGA</t>
    </r>
    <r>
      <rPr>
        <sz val="10"/>
        <color theme="1"/>
        <rFont val="Times New Roman"/>
        <family val="1"/>
      </rPr>
      <t>KGGSGVIHTISHEVIYNSWNFVFTCCS</t>
    </r>
  </si>
  <si>
    <t>MKEQNSFNLLQEVTESELDLILGA</t>
  </si>
  <si>
    <t>KGGSGVIHTISHEVIYNSWNFVFTCCS</t>
  </si>
  <si>
    <t>GA</t>
  </si>
  <si>
    <t>Lactococcus lactis subsp. Cremoris</t>
  </si>
  <si>
    <t>J46</t>
  </si>
  <si>
    <t>10.1006/anae.1996.0018</t>
  </si>
  <si>
    <t>Bacteriocin J46, a New Bacteriocin Produced byLactococcus lactisSubsp.cremorisJ46: Isolation and Characterization of the Protein and Its Gene</t>
  </si>
  <si>
    <t>Bac_280</t>
  </si>
  <si>
    <r>
      <rPr>
        <sz val="10"/>
        <color theme="6"/>
        <rFont val="Times New Roman"/>
        <family val="1"/>
      </rPr>
      <t>MNNVKELSIKEMQQVTGG</t>
    </r>
    <r>
      <rPr>
        <sz val="10"/>
        <color theme="1"/>
        <rFont val="Times New Roman"/>
        <family val="1"/>
      </rPr>
      <t>DQMSDGVNYGKGSSLSKGGAKCGLGIVGGLATIPSGPLGWLAGAAGVINSCMK</t>
    </r>
  </si>
  <si>
    <t xml:space="preserve">LV61 </t>
  </si>
  <si>
    <t>Z26650</t>
  </si>
  <si>
    <t>10.1007/BF01575750</t>
  </si>
  <si>
    <t>Purification and cloning of piscicolin 61, a bacteriocin from Carnobacterium piscicola LV61</t>
  </si>
  <si>
    <t>Bac_281</t>
  </si>
  <si>
    <t>Colicin V (Microcin V)</t>
  </si>
  <si>
    <r>
      <rPr>
        <sz val="10"/>
        <color theme="6"/>
        <rFont val="Times New Roman"/>
        <family val="1"/>
      </rPr>
      <t>MRTLTLNELDSVSGG</t>
    </r>
    <r>
      <rPr>
        <sz val="10"/>
        <color theme="1"/>
        <rFont val="Times New Roman"/>
        <family val="1"/>
      </rPr>
      <t>ASGRDIAMAIGTLSGQFVAGGIGAAAGGVAGGAIYDYASTHKPNPAMSPSGLGGTIKQKPEGIPSEAWNYAAGRLCNWSPNNLSDVCL</t>
    </r>
  </si>
  <si>
    <t>MRTLTLNELDSVSGG</t>
  </si>
  <si>
    <t>ASGRDIAMAIGTLSGQFVAGGIGAAAGGVAGGAIYDYASTHKPNPAMSPSGLGGTIKQKPEGIPSEAWNYAAGRLCNWSPNNLSDVCL</t>
  </si>
  <si>
    <t>Escherichia coli</t>
  </si>
  <si>
    <t>ATCC 14763</t>
  </si>
  <si>
    <t>Gram-negative</t>
  </si>
  <si>
    <t>10.1099/13500872-140-9-2383</t>
  </si>
  <si>
    <t>The leader peptide of colicin V shares consensus sequences with leader peptides that are common among peptide bacteriocins produced by gram-positive bacteria</t>
  </si>
  <si>
    <t>class IIa microcin</t>
  </si>
  <si>
    <t>Bac_282</t>
  </si>
  <si>
    <t>Microcin L</t>
  </si>
  <si>
    <r>
      <rPr>
        <sz val="10"/>
        <color theme="6"/>
        <rFont val="Times New Roman"/>
        <family val="1"/>
      </rPr>
      <t>MREITLNEMNNVSGA</t>
    </r>
    <r>
      <rPr>
        <sz val="10"/>
        <color theme="1"/>
        <rFont val="Times New Roman"/>
        <family val="1"/>
      </rPr>
      <t>GDVNWVDVGKTVATNGAGVIGGAFGAGLCGPVCAGAFAVGSSAAVAALYDAAGNSNSAKQKPEGLPPEAWNYAEGRMCNWSPNNLSDVCL</t>
    </r>
  </si>
  <si>
    <t>MREITLNEMNNVSGA</t>
  </si>
  <si>
    <t>GDVNWVDVGKTVATNGAGVIGGAFGAGLCGPVCAGAFAVGSSAAVAALYDAAGNSNSAKQKPEGLPPEAWNYAEGRMCNWSPNNLSDVCL</t>
  </si>
  <si>
    <t>LR05</t>
  </si>
  <si>
    <t>AY237108</t>
  </si>
  <si>
    <t>10.1128/AAC.48.2.505-513.2004</t>
  </si>
  <si>
    <t>Genetic analysis and complete primary structure of microcin L</t>
  </si>
  <si>
    <t>Bac_283</t>
  </si>
  <si>
    <t>Microcin H47</t>
  </si>
  <si>
    <r>
      <rPr>
        <sz val="10"/>
        <color theme="6"/>
        <rFont val="Times New Roman"/>
        <family val="1"/>
      </rPr>
      <t>MREITESQLRYISGA</t>
    </r>
    <r>
      <rPr>
        <sz val="10"/>
        <color theme="1"/>
        <rFont val="Times New Roman"/>
        <family val="1"/>
      </rPr>
      <t>GGAPATSANAAGAAAIVGALAGIPGGPLGVVVGAVSAGLTTAIGSTVGSGSASSSAGGGS</t>
    </r>
  </si>
  <si>
    <t>MREITESQLRYISGA</t>
  </si>
  <si>
    <t>GGAPATSANAAGAAAIVGALAGIPGGPLGVVVGAVSAGLTTAIGSTVGSGSASSSAGGGS</t>
  </si>
  <si>
    <t>AJ009631</t>
  </si>
  <si>
    <t>10.1128/AAC.43.9.2176</t>
  </si>
  <si>
    <t xml:space="preserve">
The structural gene for microcin H47 encodes a peptide precursor with antibiotic activity</t>
  </si>
  <si>
    <t>Bac_284</t>
  </si>
  <si>
    <t>Enterocin NKR-5-3D</t>
  </si>
  <si>
    <r>
      <rPr>
        <sz val="10"/>
        <color theme="6"/>
        <rFont val="Times New Roman"/>
        <family val="1"/>
      </rPr>
      <t>MTNRKILPKEELKKIKGG</t>
    </r>
    <r>
      <rPr>
        <sz val="10"/>
        <color theme="1"/>
        <rFont val="Times New Roman"/>
        <family val="1"/>
      </rPr>
      <t>TPGGIDFISGGPHVAQDVLNAIKNFFK</t>
    </r>
  </si>
  <si>
    <t>MTNRKILPKEELKKIKGG</t>
  </si>
  <si>
    <t>TPGGIDFISGGPHVAQDVLNAIKNFFK</t>
  </si>
  <si>
    <t>AB627131</t>
  </si>
  <si>
    <t>Enterocin NKR-5-3D is also an inducer peptide.</t>
  </si>
  <si>
    <t>Bac_285</t>
  </si>
  <si>
    <t>LSEI_2163</t>
  </si>
  <si>
    <r>
      <rPr>
        <sz val="10"/>
        <color theme="6"/>
        <rFont val="Times New Roman"/>
        <family val="1"/>
      </rPr>
      <t>MELLNEKELAHVIGG</t>
    </r>
    <r>
      <rPr>
        <sz val="10"/>
        <color theme="1"/>
        <rFont val="Times New Roman"/>
        <family val="1"/>
      </rPr>
      <t>KRKCPKTPFDNTPGAWFAHLILGC</t>
    </r>
  </si>
  <si>
    <t>MELLNEKELAHVIGG</t>
  </si>
  <si>
    <t>KRKCPKTPFDNTPGAWFAHLILGC</t>
  </si>
  <si>
    <t>Lactobacillus casei</t>
  </si>
  <si>
    <t>ATCC 334</t>
  </si>
  <si>
    <t>10.1007/s00253-012-4149-2</t>
  </si>
  <si>
    <t>Characterization of putative class II bacteriocins identified from a non-bacteriocin-producing strain Lactobacillus casei ATCC 334</t>
  </si>
  <si>
    <t>Bac_286</t>
  </si>
  <si>
    <t>LSEI_2386</t>
  </si>
  <si>
    <r>
      <rPr>
        <sz val="10"/>
        <color theme="6"/>
        <rFont val="Times New Roman"/>
        <family val="1"/>
      </rPr>
      <t>MKQFDEQKMVNMSDEELLGFIGG</t>
    </r>
    <r>
      <rPr>
        <sz val="10"/>
        <color theme="1"/>
        <rFont val="Times New Roman"/>
        <family val="1"/>
      </rPr>
      <t>DSIRDVSPTFNKIRRWFDGLFK</t>
    </r>
  </si>
  <si>
    <t>MKQFDEQKMVNMSDEELLGFIGG</t>
  </si>
  <si>
    <t>DSIRDVSPTFNKIRRWFDGLFK</t>
  </si>
  <si>
    <t>Bac_287</t>
  </si>
  <si>
    <t>Microcin N (Microcin 24)</t>
  </si>
  <si>
    <r>
      <rPr>
        <sz val="10"/>
        <color theme="6"/>
        <rFont val="Times New Roman"/>
        <family val="1"/>
      </rPr>
      <t>MRELDREELNCVGGA</t>
    </r>
    <r>
      <rPr>
        <sz val="10"/>
        <color theme="1"/>
        <rFont val="Times New Roman"/>
        <family val="1"/>
      </rPr>
      <t>GDPLADPNSQIVRQIMSNAAWGAAFGARGGLGGMAVGAAGGVTQTVLQGAAAHMPVNVPIPKVPMGPSWNGSKG</t>
    </r>
  </si>
  <si>
    <t>MRELDREELNCVGGA</t>
  </si>
  <si>
    <t>GDPLADPNSQIVRQIMSNAAWGAAFGARGGLGGMAVGAAGGVTQTVLQGAAAHMPVNVPIPKVPMGPSWNGSKG</t>
  </si>
  <si>
    <t>MC4100</t>
  </si>
  <si>
    <t>ACP43450</t>
  </si>
  <si>
    <t>10.1093/femsle/fnw095</t>
  </si>
  <si>
    <t>Characterization of a highly potent antimicrobial peptide microcin N from uropathogenic Escherichia coli</t>
  </si>
  <si>
    <t>Bac_288</t>
  </si>
  <si>
    <t>Plantaricin ASM1 (bacteriocin A1)</t>
  </si>
  <si>
    <r>
      <rPr>
        <sz val="10"/>
        <color theme="6"/>
        <rFont val="Times New Roman"/>
        <family val="1"/>
      </rPr>
      <t>MSKLVKTLTVDEISKIQTNGG</t>
    </r>
    <r>
      <rPr>
        <sz val="10"/>
        <color theme="1"/>
        <rFont val="Times New Roman"/>
        <family val="1"/>
      </rPr>
      <t>KPAWCWYTLAMCGAGYDSGTCDYMYSHCFGVKHSSGGGGSYHC</t>
    </r>
  </si>
  <si>
    <t>MSKLVKTLTVDEISKIQTNGG</t>
  </si>
  <si>
    <t>KPAWCWYTLAMCGAGYDSGTCDYMYSHCFGVKHSSGGGGSYHC</t>
  </si>
  <si>
    <t>A-1</t>
  </si>
  <si>
    <t>AB474371</t>
  </si>
  <si>
    <t>10.1016/j.ijfoodmicro.2009.10.021</t>
  </si>
  <si>
    <t>2MVI</t>
  </si>
  <si>
    <t>C7G1H4</t>
  </si>
  <si>
    <t>Isolation and characterization of plantaricin ASM1: a new bacteriocin produced by Lactobacillus plantarum A-1</t>
  </si>
  <si>
    <t>Bac_289</t>
  </si>
  <si>
    <t>Sakacin Q</t>
  </si>
  <si>
    <r>
      <t>MQNTKELSVVELQQILGG</t>
    </r>
    <r>
      <rPr>
        <sz val="10"/>
        <color theme="1"/>
        <rFont val="Times New Roman"/>
        <family val="1"/>
      </rPr>
      <t>KRASFGKCVVGAWGAGAAGLGAGVSGGLWGMAAGGIGGELAYMGANGCL</t>
    </r>
  </si>
  <si>
    <t>MQNTKELSVVELQQILGG</t>
  </si>
  <si>
    <t>KRASFGKCVVGAWGAGAAGLGAGVSGGLWGMAAGGIGGELAYMGANGCL</t>
  </si>
  <si>
    <t>Lb674</t>
  </si>
  <si>
    <t>AJ844595</t>
  </si>
  <si>
    <t>10.1128/AEM.71.7.3565–3574.2005</t>
  </si>
  <si>
    <t>Characterization of a new bacteriocin operon in sakacin P-producing Lactobacillus sakei, showing strong translational coupling between the bacteriocin and immunity genes</t>
  </si>
  <si>
    <t>Bac_290</t>
  </si>
  <si>
    <t>Sakacin Q variant</t>
  </si>
  <si>
    <r>
      <rPr>
        <sz val="10"/>
        <color theme="6"/>
        <rFont val="Times New Roman"/>
        <family val="1"/>
      </rPr>
      <t>MQNTKELSVVELQQILGG</t>
    </r>
    <r>
      <rPr>
        <sz val="10"/>
        <color theme="1"/>
        <rFont val="Times New Roman"/>
        <family val="1"/>
      </rPr>
      <t>KRASFGKCVVGAAGLGAGVSGGLWGMAAGGIGGELAYMGANGCL</t>
    </r>
  </si>
  <si>
    <t>KRASFGKCVVGAAGLGAGVSGGLWGMAAGGIGGELAYMGANGCL</t>
  </si>
  <si>
    <t>10.1007/s00253-007-1120-8</t>
  </si>
  <si>
    <t>Sequencing and expression analysis of sakacin genes in Lactobacillus curvatus strains</t>
  </si>
  <si>
    <t>Bac_291</t>
  </si>
  <si>
    <t>UviB / BhlA</t>
  </si>
  <si>
    <r>
      <rPr>
        <sz val="10"/>
        <color theme="6"/>
        <rFont val="Times New Roman"/>
        <family val="1"/>
      </rPr>
      <t>MDSELFKLMATQGAFA</t>
    </r>
    <r>
      <rPr>
        <sz val="10"/>
        <color theme="1"/>
        <rFont val="Times New Roman"/>
        <family val="1"/>
      </rPr>
      <t>ILFSYLLFYVLKENSKREDKYQNIIEELTELLPKIKEDVEDIKEKLNK</t>
    </r>
  </si>
  <si>
    <t>MDSELFKLMATQGAFA</t>
  </si>
  <si>
    <t>ILFSYLLFYVLKENSKREDKYQNIIEELTELLPKIKEDVEDIKEKLNK</t>
  </si>
  <si>
    <t>Clostridium perfringen</t>
  </si>
  <si>
    <t>M32882</t>
  </si>
  <si>
    <t>10.1111/j.1365-2958.1988.tb00069.x</t>
  </si>
  <si>
    <t>Studies of UV-inducible promoters from Clostridium perfringens in vivo and in vitro</t>
  </si>
  <si>
    <t>Bac_292</t>
  </si>
  <si>
    <t>BlpC</t>
  </si>
  <si>
    <r>
      <rPr>
        <sz val="10"/>
        <color theme="6"/>
        <rFont val="Times New Roman"/>
        <family val="1"/>
      </rPr>
      <t>MANNTINNFETLDNHALEQVVGG</t>
    </r>
    <r>
      <rPr>
        <sz val="10"/>
        <color theme="1"/>
        <rFont val="Times New Roman"/>
        <family val="1"/>
      </rPr>
      <t>SGWMDYINGFLKGFGGQRTLPTKDYNIPQA</t>
    </r>
  </si>
  <si>
    <t>MANNTINNFETLDNHALEQVVGG</t>
  </si>
  <si>
    <t>SGWMDYINGFLKGFGGQRTLPTKDYNIPQA</t>
  </si>
  <si>
    <t>LMG18311</t>
  </si>
  <si>
    <t>10.1128/JB.00966-07</t>
  </si>
  <si>
    <t>Quorum-sensing regulation of the production of Blp bacteriocins in Streptococcus thermophilus</t>
  </si>
  <si>
    <t>Bac_293</t>
  </si>
  <si>
    <t>BlpD / Thermophilin 9</t>
  </si>
  <si>
    <r>
      <rPr>
        <sz val="10"/>
        <color theme="6"/>
        <rFont val="Times New Roman"/>
        <family val="1"/>
      </rPr>
      <t>MATQTIENFNTLDLETLASVEGG</t>
    </r>
    <r>
      <rPr>
        <sz val="10"/>
        <color theme="1"/>
        <rFont val="Times New Roman"/>
        <family val="1"/>
      </rPr>
      <t>LSCDEGMLAVGGLGAVGGPWGAVGGVLVGAALYCF</t>
    </r>
  </si>
  <si>
    <t>MATQTIENFNTLDLETLASVEGG</t>
  </si>
  <si>
    <t>LSCDEGMLAVGGLGAVGGPWGAVGGVLVGAALYCF</t>
  </si>
  <si>
    <t>LMD-9</t>
  </si>
  <si>
    <t>10.1128/AEM.02030-07; 10.1128/JB.00966-07</t>
  </si>
  <si>
    <t>The inhibitory spectrum of thermophilin 9 from Streptococcus thermophilus LMD-9 depends on the production of multiple peptides and the activity of BlpG(St), a thiol-disulfide oxidase</t>
  </si>
  <si>
    <t>Bac_294</t>
  </si>
  <si>
    <t>bacteroidetocin B</t>
  </si>
  <si>
    <r>
      <rPr>
        <sz val="10"/>
        <color theme="6"/>
        <rFont val="Times New Roman"/>
        <family val="1"/>
      </rPr>
      <t>MKKVSNKVLSRAFGG</t>
    </r>
    <r>
      <rPr>
        <sz val="10"/>
        <color theme="1"/>
        <rFont val="Times New Roman"/>
        <family val="1"/>
      </rPr>
      <t>KMFGSKTECERWEGGCRCRQVYYTFWVKSYGAWNPAADWQCN</t>
    </r>
  </si>
  <si>
    <t>MKKVSNKVLSRAFGG</t>
  </si>
  <si>
    <t>KMFGSKTECERWEGGCRCRQVYYTFWVKSYGAWNPAADWQCN</t>
  </si>
  <si>
    <t>Bacteroides vulgatus</t>
  </si>
  <si>
    <t>BvCL01T12C17</t>
  </si>
  <si>
    <t>10.1038/s41467-019-11494-1</t>
  </si>
  <si>
    <t>A family of anti-Bacteroidales peptide toxins wide-spread in the human gut microbiota</t>
  </si>
  <si>
    <t>Bac_295</t>
  </si>
  <si>
    <t>bacteroidetocin A</t>
  </si>
  <si>
    <r>
      <rPr>
        <sz val="10"/>
        <color theme="6"/>
        <rFont val="Times New Roman"/>
        <family val="1"/>
      </rPr>
      <t>MKKISNETLSQVTGG</t>
    </r>
    <r>
      <rPr>
        <sz val="10"/>
        <color theme="1"/>
        <rFont val="Times New Roman"/>
        <family val="1"/>
      </rPr>
      <t>KFWGSRVECRVQANGHCMCRKVYYRFGIRSYGGWWPANPSQC</t>
    </r>
  </si>
  <si>
    <t>MKKISNETLSQVTGG</t>
  </si>
  <si>
    <t>KFWGSRVECRVQANGHCMCRKVYYRFGIRSYGGWWPANPSQC</t>
  </si>
  <si>
    <t>Bacteroides ovatus</t>
  </si>
  <si>
    <t>BoCL02T12C04</t>
  </si>
  <si>
    <t>Bac_296</t>
  </si>
  <si>
    <t>bacteroidetocin C</t>
  </si>
  <si>
    <r>
      <rPr>
        <sz val="10"/>
        <color theme="6"/>
        <rFont val="Times New Roman"/>
        <family val="1"/>
      </rPr>
      <t>MKKLSFEEMSRISGG</t>
    </r>
    <r>
      <rPr>
        <sz val="10"/>
        <color theme="1"/>
        <rFont val="Times New Roman"/>
        <family val="1"/>
      </rPr>
      <t>KFIGTKVRRGPCFEGSRYVEREFYFLWIKFHQSLQTEPC</t>
    </r>
  </si>
  <si>
    <t>MKKLSFEEMSRISGG</t>
  </si>
  <si>
    <t>KFIGTKVRRGPCFEGSRYVEREFYFLWIKFHQSLQTEPC</t>
  </si>
  <si>
    <t>Prevotella oralis</t>
  </si>
  <si>
    <t>ATCC 33269</t>
  </si>
  <si>
    <t>Bac_297</t>
  </si>
  <si>
    <t>bacteroidetocin D</t>
  </si>
  <si>
    <r>
      <rPr>
        <sz val="10"/>
        <color theme="6"/>
        <rFont val="Times New Roman"/>
        <family val="1"/>
      </rPr>
      <t>MKKISDEKLSKFSGG</t>
    </r>
    <r>
      <rPr>
        <sz val="10"/>
        <color theme="1"/>
        <rFont val="Times New Roman"/>
        <family val="1"/>
      </rPr>
      <t>KFWGKKTQCEKRSENQCWCRTVYYQFWTKSYSPWQPAEAWYCKDL</t>
    </r>
  </si>
  <si>
    <t>MKKISDEKLSKFSGG</t>
  </si>
  <si>
    <t>KFWGKKTQCEKRSENQCWCRTVYYQFWTKSYSPWQPAEAWYCKDL</t>
  </si>
  <si>
    <t>Prevotella oryzae</t>
  </si>
  <si>
    <t>DSM 17970</t>
  </si>
  <si>
    <t>Bac_298</t>
  </si>
  <si>
    <t xml:space="preserve">Actinomycesin </t>
  </si>
  <si>
    <r>
      <rPr>
        <sz val="10"/>
        <color theme="6"/>
        <rFont val="Times New Roman"/>
        <family val="1"/>
      </rPr>
      <t>MDKFTRRTANLVDADKALNAETHAPIEGAE</t>
    </r>
    <r>
      <rPr>
        <sz val="10"/>
        <color theme="1"/>
        <rFont val="Times New Roman"/>
        <family val="1"/>
      </rPr>
      <t>GFGCPWNAYECDRHCVSKGYTGGNCRGKIRQTCHCY</t>
    </r>
  </si>
  <si>
    <t>MDKFTRRTANLVDADKALNAETHAPIEGAE</t>
  </si>
  <si>
    <t>GFGCPWNAYECDRHCVSKGYTGGNCRGKIRQTCHCY</t>
  </si>
  <si>
    <t>Actinomyces sp.</t>
  </si>
  <si>
    <t>oral taxon 171 str. F0337</t>
  </si>
  <si>
    <t>10.15252/emmm.202114499</t>
  </si>
  <si>
    <t xml:space="preserve">2RU0 </t>
  </si>
  <si>
    <t xml:space="preserve">E7N5J9 </t>
  </si>
  <si>
    <t>Adaptively evolved human oral actinomyces-sourced defensins show therapeutic potential</t>
  </si>
  <si>
    <t>Bac_299</t>
  </si>
  <si>
    <t>Bacteriocin 32</t>
  </si>
  <si>
    <r>
      <rPr>
        <sz val="10"/>
        <color theme="6"/>
        <rFont val="Times New Roman"/>
        <family val="1"/>
      </rPr>
      <t>MKKTKLLVASLCLFSSLLAFTPSVSFSQNGGVVEA</t>
    </r>
    <r>
      <rPr>
        <sz val="10"/>
        <color theme="1"/>
        <rFont val="Times New Roman"/>
        <family val="1"/>
      </rPr>
      <t>AAQRGYIYKKYPKGAKVPNKVKMLVNIRGKQTMRTCYLMSWTASSRTSKYYYYI</t>
    </r>
  </si>
  <si>
    <t>MKKTKLLVASLCLFSSLLAFTPSVSFSQNGGVVEA</t>
  </si>
  <si>
    <t>AAQRGYIYKKYPKGAKVPNKVKMLVNIRGKQTMRTCYLMSWTASSRTSKYYYYI</t>
  </si>
  <si>
    <t>VRE200</t>
  </si>
  <si>
    <t>AB205024</t>
  </si>
  <si>
    <t>10.1128/AAC.50.4.1202-1212.2006</t>
  </si>
  <si>
    <t>Bac 32, a novel bacteriocin widely disseminated among clinical isolates of Enterococcus faecium</t>
  </si>
  <si>
    <t>Leader was predicted by SignalP - 6.0</t>
  </si>
  <si>
    <t>Bac_300</t>
  </si>
  <si>
    <t>Mutacin N</t>
  </si>
  <si>
    <r>
      <rPr>
        <sz val="10"/>
        <color theme="6"/>
        <rFont val="Times New Roman"/>
        <family val="1"/>
      </rPr>
      <t>MNVEENIMSFDVNSYNDLTRDELSQTIGG</t>
    </r>
    <r>
      <rPr>
        <sz val="10"/>
        <color theme="1"/>
        <rFont val="Times New Roman"/>
        <family val="1"/>
      </rPr>
      <t>SRQAADTFLSSGAYGAAKGVTACASTGVYVVPATLVACGVVGAGLNIAFPH</t>
    </r>
  </si>
  <si>
    <t>MNVEENIMSFDVNSYNDLTRDELSQTIGG</t>
  </si>
  <si>
    <t>SRQAADTFLSSGAYGAAKGVTACASTGVYVVPATLVACGVVGAGLNIAFPH</t>
  </si>
  <si>
    <t>N</t>
  </si>
  <si>
    <t>Genetic basis for mutacin N and of its relationship to mutacin I</t>
  </si>
  <si>
    <t>Bac_301</t>
  </si>
  <si>
    <t>Mutacin VI</t>
  </si>
  <si>
    <r>
      <rPr>
        <sz val="10"/>
        <color theme="6"/>
        <rFont val="Times New Roman"/>
        <family val="1"/>
      </rPr>
      <t>MNTQAFEQFNVMDNEALSTVEGG</t>
    </r>
    <r>
      <rPr>
        <sz val="10"/>
        <color theme="1"/>
        <rFont val="Times New Roman"/>
        <family val="1"/>
      </rPr>
      <t>GMIRCALGTAGSAGLGFVGGMGAGTVTLPVVGTVSGAALGGWSGAAVGAATFC</t>
    </r>
  </si>
  <si>
    <t>MNTQAFEQFNVMDNEALSTVEGG</t>
  </si>
  <si>
    <t>GMIRCALGTAGSAGLGFVGGMGAGTVTLPVVGTVSGAALGGWSGAAVGAATFC</t>
  </si>
  <si>
    <t>10.1111/j.2041-1014.2011.00634.x</t>
  </si>
  <si>
    <t xml:space="preserve">Q8DVP7 </t>
  </si>
  <si>
    <t>The mutacins of Streptococcus mutans: regulation and ecology</t>
  </si>
  <si>
    <t>Bac_302</t>
  </si>
  <si>
    <t>Acidocin 4356</t>
  </si>
  <si>
    <r>
      <rPr>
        <sz val="10"/>
        <color theme="0" tint="-0.34998626667073579"/>
        <rFont val="Times New Roman"/>
        <family val="1"/>
      </rPr>
      <t>MEKLMVLNEEKLSYVIGG</t>
    </r>
    <r>
      <rPr>
        <sz val="10"/>
        <color theme="1"/>
        <rFont val="Times New Roman"/>
        <family val="1"/>
      </rPr>
      <t>GNPKVAHCASQIGRSTAWGAVSGAATGTAVGQAVGALGGALFGGSMGVIKGSAACVSYLTRHRHH</t>
    </r>
  </si>
  <si>
    <t>MEKLMVLNEEKLSYVIGG</t>
  </si>
  <si>
    <t>GNPKVAHCASQIGRSTAWGAVSGAATGTAVGQAVGALGGALFGGSMGVIKGSAACVSYLTRHRHH</t>
  </si>
  <si>
    <t>ATCC 4356</t>
  </si>
  <si>
    <t>KHE29331.1</t>
  </si>
  <si>
    <t>10.1128/AEM.00367-20</t>
  </si>
  <si>
    <t>Multifunctional Acidocin 4356 Combats Pseudomonas aeruginosa through Membrane Perturbation and Virulence Attenuation: Experimental Results Confirm Molecular Dynamics Simulation</t>
  </si>
  <si>
    <t>Bac_303</t>
  </si>
  <si>
    <t>sakacin 23K</t>
  </si>
  <si>
    <t>LSA0564_a</t>
  </si>
  <si>
    <r>
      <rPr>
        <sz val="10"/>
        <color theme="6"/>
        <rFont val="Times New Roman"/>
        <family val="1"/>
      </rPr>
      <t>MERISEYKVLNNNVLAGVQGG</t>
    </r>
    <r>
      <rPr>
        <sz val="10"/>
        <color theme="1"/>
        <rFont val="Times New Roman"/>
        <family val="1"/>
      </rPr>
      <t>KKKKGGFFWHYFGDPIVSFGKGFIGY</t>
    </r>
  </si>
  <si>
    <t>MERISEYKVLNNNVLAGVQGG</t>
  </si>
  <si>
    <t>KKKKGGFFWHYFGDPIVSFGKGFIGY</t>
  </si>
  <si>
    <t>23K</t>
  </si>
  <si>
    <t>10.1128/JB.01553-09</t>
  </si>
  <si>
    <t>The Abi Proteins and Their Involvement in Bacteriocin Self-Immunity</t>
  </si>
  <si>
    <t>Bac_304</t>
  </si>
  <si>
    <t>LSA0564_b</t>
  </si>
  <si>
    <r>
      <rPr>
        <sz val="10"/>
        <color theme="6"/>
        <rFont val="Times New Roman"/>
        <family val="1"/>
      </rPr>
      <t>MNKKLDSFSSIEDDKLGLVIGG</t>
    </r>
    <r>
      <rPr>
        <sz val="10"/>
        <color theme="1"/>
        <rFont val="Times New Roman"/>
        <family val="1"/>
      </rPr>
      <t>RNNLAYGLGKLVRAGVDIGIAIGSKGRYKPRH</t>
    </r>
  </si>
  <si>
    <t>MNKKLDSFSSIEDDKLGLVIGG</t>
  </si>
  <si>
    <t>RNNLAYGLGKLVRAGVDIGIAIGSKGRYKPRH</t>
  </si>
  <si>
    <t>Bac_305</t>
  </si>
  <si>
    <t>lmo2776</t>
  </si>
  <si>
    <r>
      <rPr>
        <sz val="10"/>
        <color theme="0" tint="-0.34998626667073579"/>
        <rFont val="Times New Roman"/>
        <family val="1"/>
      </rPr>
      <t>MKKKVCVLAIALLTVLSPMGALA</t>
    </r>
    <r>
      <rPr>
        <sz val="10"/>
        <color theme="1"/>
        <rFont val="Times New Roman"/>
        <family val="1"/>
      </rPr>
      <t>AQNLNEGETSLDSLMSANKTGEKVIFSETTTGKKPLLKAAQSAGGGTFWVTWGQDRHYSNYQHTKKTHRSSASNYRATERSSWKAKNNLATAWIKSSLWGNKANWATK</t>
    </r>
  </si>
  <si>
    <t>MKKKVCVLAIALLTVLSPMGALA</t>
  </si>
  <si>
    <t>AQNLNEGETSLDSLMSANKTGEKVIFSETTTGKKPLLKAAQSAGGGTFWVTWGQDRHYSNYQHTKKTHRSSASNYRATERSSWKAKNNLATAWIKSSLWGNKANWATK</t>
  </si>
  <si>
    <t>Listeria monocytogenes</t>
  </si>
  <si>
    <t>EGD-e</t>
  </si>
  <si>
    <t>10.1016/j.chom.2019.10.016</t>
  </si>
  <si>
    <t>A Listeria monocytogenes Bacteriocin Can Target the Commensal Prevotella copri and Modulate Intestinal Infection</t>
  </si>
  <si>
    <t>Unclear leader sequence, Lactococcin 972-like bacteriocin</t>
  </si>
  <si>
    <t>Bac_306</t>
  </si>
  <si>
    <t>Bacteriocin LS2</t>
  </si>
  <si>
    <r>
      <rPr>
        <sz val="10"/>
        <color theme="0" tint="-0.34998626667073579"/>
        <rFont val="Times New Roman"/>
        <family val="1"/>
      </rPr>
      <t>MKNFESLTVNELQNIYGG</t>
    </r>
    <r>
      <rPr>
        <sz val="10"/>
        <color theme="1"/>
        <rFont val="Times New Roman"/>
        <family val="1"/>
      </rPr>
      <t>TNWKKIGKCYAGTLGSAVLGFGAMGPVGYWAGAGVGYASFC</t>
    </r>
  </si>
  <si>
    <t>MKNFESLTVNELQNIYGG</t>
  </si>
  <si>
    <t>TNWKKIGKCYAGTLGSAVLGFGAMGPVGYWAGAGVGYASFC</t>
  </si>
  <si>
    <t>JQ322755</t>
  </si>
  <si>
    <t>I0B594</t>
  </si>
  <si>
    <t>WP_081514345.1</t>
  </si>
  <si>
    <t>Deduced leader</t>
  </si>
  <si>
    <t>Bac_307</t>
  </si>
  <si>
    <t>Lactiscin</t>
  </si>
  <si>
    <r>
      <rPr>
        <sz val="10"/>
        <color theme="0" tint="-0.34998626667073579"/>
        <rFont val="Times New Roman"/>
        <family val="1"/>
      </rPr>
      <t>MKTKKLLVSTLILATLGVTILQVSPVFA</t>
    </r>
    <r>
      <rPr>
        <sz val="10"/>
        <color theme="1"/>
        <rFont val="Times New Roman"/>
        <family val="1"/>
      </rPr>
      <t>INRSTYSQGSTNDKKYGMGAYAAYWNNYGNHWAEVAYAHQYGNNTINAHANFQAYTWLNTYWGQRVNFYHGNGYIPGKLWG</t>
    </r>
  </si>
  <si>
    <t>MKTKKLLVSTLILATLGVTILQVSPVFA</t>
  </si>
  <si>
    <t>INRSTYSQGSTNDKKYGMGAYAAYWNNYGNHWAEVAYAHQYGNNTINAHANFQAYTWLNTYWGQRVNFYHGNGYIPGKLWG</t>
  </si>
  <si>
    <t>NA</t>
  </si>
  <si>
    <t>10.21203/rs.3.rs-2626969/v1</t>
  </si>
  <si>
    <t>Design, Expression and Characterization of Lactiscin—a Novel Broad-Spectrum Peptidic Bacteriocin</t>
  </si>
  <si>
    <t>Lactococcin 972-like, deduced leader sequence</t>
  </si>
  <si>
    <t>Bac_308</t>
  </si>
  <si>
    <t>Plantaricin-149</t>
  </si>
  <si>
    <t>II</t>
  </si>
  <si>
    <t>YSLQMGATAIKQVKKLFKKKGG</t>
  </si>
  <si>
    <t xml:space="preserve">Lactobacillus plantarum </t>
  </si>
  <si>
    <t>NRIC 149</t>
  </si>
  <si>
    <t>10.1016/0922-338X(94)90234-8; 10.1038/s41598-021-00497-y</t>
  </si>
  <si>
    <t>Plantaricin-149, a bacteriocin produced by Lactobacillus plantarum NRIC 149; Evaluation of the antibacterial effects and mechanism of Plantaricin 149 from Lactobacillus plantarum NRIC 149 on the peri-implantitis pathogens</t>
  </si>
  <si>
    <t>Unknown structural gene and leader sequence, synthesized mature peptide has antibacterial activity.</t>
  </si>
  <si>
    <t>Bac_309</t>
  </si>
  <si>
    <t>Plantaricin KL-1Y</t>
  </si>
  <si>
    <t>GRADYNFGYGLGRGTRKFFNGIGRWVRKTF</t>
  </si>
  <si>
    <t>KL-1</t>
  </si>
  <si>
    <t>10.1007/s11274-015-1851-0</t>
  </si>
  <si>
    <t xml:space="preserve">C0HJC0 </t>
  </si>
  <si>
    <t>Purification and characterization of a novel plantaricin, KL-1Y, from Lactobacillus plantarum KL-1</t>
  </si>
  <si>
    <t>Deduced class II, unknwon structural gene</t>
  </si>
  <si>
    <t>Bac_310</t>
  </si>
  <si>
    <t>Enterocin E-760</t>
  </si>
  <si>
    <t>NRWYCNSAAGGVGGAAVCGLAGYVGEAKENIAGEVRKGWGMAGGFTHNKACKSFPGSGWASG</t>
  </si>
  <si>
    <t>NRRL B-30745</t>
  </si>
  <si>
    <t>10.1128/AAC.01569-06</t>
  </si>
  <si>
    <t>P85147</t>
  </si>
  <si>
    <t>Isolation and purification of enterocin E-760 with broad antimicrobial activity against gram-positive and gram-negative bacteria</t>
  </si>
  <si>
    <t>Unknown structural gene</t>
  </si>
  <si>
    <t>Bac_311</t>
  </si>
  <si>
    <t>EP-20</t>
  </si>
  <si>
    <t>EGPVGLADPDGPASAPLGAP</t>
  </si>
  <si>
    <t>Xenorhabdus budapestensis</t>
  </si>
  <si>
    <t>NMC-10</t>
  </si>
  <si>
    <t>10.1016/j.peptides.2012.03.027</t>
  </si>
  <si>
    <t>B3A0L3</t>
  </si>
  <si>
    <t>Two novel antimicrobial peptides purified from the symbiotic bacteria Xenorhabdus budapestensis NMC-10</t>
  </si>
  <si>
    <t>Bac_312</t>
  </si>
  <si>
    <t>GP-19</t>
  </si>
  <si>
    <t>GPVGLLSSPGSLPPVGGAP</t>
  </si>
  <si>
    <t>B3A0L2</t>
  </si>
  <si>
    <t>Bac_313</t>
  </si>
  <si>
    <t>fulvocin C</t>
  </si>
  <si>
    <t>ANCSCSTASDYCPILTFCTTGTACSYTPTGCGTGWVYCACNGNFY</t>
  </si>
  <si>
    <t>Myxococcus fulvu</t>
  </si>
  <si>
    <t>Mx f16</t>
  </si>
  <si>
    <t>10.1016/0005-2795(81)90082-9</t>
  </si>
  <si>
    <t xml:space="preserve">P01547 </t>
  </si>
  <si>
    <t>The primary structure of fulvocin C from Myxococcus fulvus</t>
  </si>
  <si>
    <t>Bac_314</t>
  </si>
  <si>
    <t>LCI</t>
  </si>
  <si>
    <t>AIKLVQSPNGNFAASFVLDGTKWIFKSKYYDSSKGYWVGIYEVWDRK</t>
  </si>
  <si>
    <t>Bacillus subtilis</t>
  </si>
  <si>
    <t>A014</t>
  </si>
  <si>
    <t>10.1021/bi200123w</t>
  </si>
  <si>
    <t xml:space="preserve">P82243 </t>
  </si>
  <si>
    <t>Solution structure of LCI, a novel antimicrobial peptide from Bacillus subtilis</t>
  </si>
  <si>
    <t>Unknown structural gene and leader sequence</t>
  </si>
  <si>
    <t>Bac_315</t>
  </si>
  <si>
    <t>SRQAADTFLSGAYGAAKGVTARASTGVYVVPATLVALGVYGAGLNIAFP</t>
  </si>
  <si>
    <t>10.1111/j.1574-6968.2000.tb08952.x</t>
  </si>
  <si>
    <t>Streptococcus mutans strain N produces a novel low molecular mass non-lantibiotic bacteriocin</t>
  </si>
  <si>
    <t>Unknown structural and leader sequence</t>
  </si>
  <si>
    <t>Bac_316</t>
  </si>
  <si>
    <t>Enterocin RJ-11</t>
  </si>
  <si>
    <t>APAGLVAKFGRPIVKKYYKQIMQFIGEGSAINKIIPWIARMWRT</t>
    <phoneticPr fontId="5" type="noConversion"/>
  </si>
  <si>
    <t>RJ-11</t>
  </si>
  <si>
    <t>10.1128/AEM.69.10.5546-5553.2003</t>
    <phoneticPr fontId="5" type="noConversion"/>
  </si>
  <si>
    <t>Purification and characterization of a novel bacteriocin produced by Enterococcus faecalis strain RJ-11</t>
  </si>
  <si>
    <t>Partial, similar to Enterocin L50 (class IIc)</t>
  </si>
  <si>
    <t>Bac_317</t>
  </si>
  <si>
    <t>Amylovorin L471</t>
  </si>
  <si>
    <t>NRWTNAYSAALGCAVPGVKYGKKLGGVWGAVIGGV</t>
  </si>
  <si>
    <t>P81927</t>
  </si>
  <si>
    <t>10.1099/00221287-145-9-2559</t>
    <phoneticPr fontId="5" type="noConversion"/>
  </si>
  <si>
    <t>Characterization and production of amylovorin L471, a bacteriocin purified from Lactobacillus amylovorus DCE 471 by a novel three-step method</t>
  </si>
  <si>
    <t>Partial. Full sequence is 55 AA in length. N-terminal region of amylovorin L471 is identical to  lactobin A.</t>
  </si>
  <si>
    <t>Bac_318</t>
  </si>
  <si>
    <t xml:space="preserve">	Durancin L28-1A</t>
  </si>
  <si>
    <t>ENDHRMPYELNRPNNLSKGGAKCGAAIA</t>
  </si>
  <si>
    <t>L28-1</t>
  </si>
  <si>
    <t>10.1111/j.1472-765X.2005.01693.x</t>
  </si>
  <si>
    <t>Durancin L28-1A, a new bacteriocin from Enterococcus durans L28-1, isolated from soil</t>
  </si>
  <si>
    <t>Partial, unknwon structural gene, similart to Enterocin B</t>
  </si>
  <si>
    <t>Bac_319</t>
  </si>
  <si>
    <t>rhamnosin A</t>
  </si>
  <si>
    <t>AVPAVRKTNETLD</t>
  </si>
  <si>
    <t>Lactobacillus rhamnosus</t>
  </si>
  <si>
    <t>10.1111/j.1365-2672.2009.04539.x</t>
  </si>
  <si>
    <t>P86526</t>
  </si>
  <si>
    <t>The identification of a low molecular mass bacteriocin, rhamnosin A, produced by Lactobacillus rhamnosus strain 68</t>
  </si>
  <si>
    <t>Partial, unknown structural gene</t>
  </si>
  <si>
    <t>Bac_320</t>
  </si>
  <si>
    <t>BlpE</t>
  </si>
  <si>
    <r>
      <rPr>
        <sz val="10"/>
        <color theme="1" tint="0.499984740745262"/>
        <rFont val="Times New Roman"/>
        <family val="1"/>
      </rPr>
      <t>MGTQTIENFNTLDLETLASVEGG</t>
    </r>
    <r>
      <rPr>
        <sz val="10"/>
        <color theme="1"/>
        <rFont val="Times New Roman"/>
        <family val="1"/>
      </rPr>
      <t>RVNWERWGMCGASVAVGATIGGGVALLGC</t>
    </r>
  </si>
  <si>
    <t>MGTQTIENFNTLDLETLASVEGG</t>
  </si>
  <si>
    <t>RVNWERWGMCGASVAVGATIGGGVALLGC</t>
  </si>
  <si>
    <t>Streptococcus salivarius</t>
  </si>
  <si>
    <t>JF</t>
  </si>
  <si>
    <t>10.1038/s42003-024-07217-y</t>
  </si>
  <si>
    <t>Uncovering the arsenal of class II bacteriocins in salivarius streptococci</t>
  </si>
  <si>
    <t>Bac_321</t>
  </si>
  <si>
    <t>BlpK</t>
  </si>
  <si>
    <r>
      <rPr>
        <sz val="10"/>
        <color theme="1" tint="0.499984740745262"/>
        <rFont val="Times New Roman"/>
        <family val="1"/>
      </rPr>
      <t>MTTQTMNNFETLDLEALANVEGG</t>
    </r>
    <r>
      <rPr>
        <sz val="10"/>
        <color theme="1"/>
        <rFont val="Times New Roman"/>
        <family val="1"/>
      </rPr>
      <t>GCSWGGFAKQGVATGVGNGLRLGIKTRTWQGAVAGAAGGAIVGGVGYGATCWW</t>
    </r>
  </si>
  <si>
    <t>MTTQTMNNFETLDLEALANVEGG</t>
  </si>
  <si>
    <t>GCSWGGFAKQGVATGVGNGLRLGIKTRTWQGAVAGAAGGAIVGGVGYGATCWW</t>
  </si>
  <si>
    <t>Bac_322</t>
  </si>
  <si>
    <t>PsnCD</t>
  </si>
  <si>
    <t>PsnC</t>
  </si>
  <si>
    <r>
      <rPr>
        <sz val="10"/>
        <color theme="1" tint="0.499984740745262"/>
        <rFont val="Times New Roman"/>
        <family val="1"/>
      </rPr>
      <t>MTTQTMNNFETLDLEALANVEGG</t>
    </r>
    <r>
      <rPr>
        <sz val="10"/>
        <color theme="1"/>
        <rFont val="Times New Roman"/>
        <family val="1"/>
      </rPr>
      <t>NRCKDLIFGGALTGAGAGFTGGMAAFGVTAFPGAFVGAHVGAVAGGLACIGASF</t>
    </r>
  </si>
  <si>
    <t>NRCKDLIFGGALTGAGAGFTGGMAAFGVTAFPGAFVGAHVGAVAGGLACIGASF</t>
  </si>
  <si>
    <t>ATCC 27945</t>
  </si>
  <si>
    <t>Bac_323</t>
  </si>
  <si>
    <t>PsnD</t>
  </si>
  <si>
    <r>
      <rPr>
        <sz val="10"/>
        <color theme="1" tint="0.499984740745262"/>
        <rFont val="Times New Roman"/>
        <family val="1"/>
      </rPr>
      <t>MNVTKYNKMCDAELEIISGG</t>
    </r>
    <r>
      <rPr>
        <sz val="10"/>
        <color theme="1"/>
        <rFont val="Times New Roman"/>
        <family val="1"/>
      </rPr>
      <t>GKVGEVIGGCLGGMLMAWAAGPVSAGGYTMICATSGLANAYF</t>
    </r>
  </si>
  <si>
    <t>MNVTKYNKMCDAELEIISGG</t>
  </si>
  <si>
    <t>GKVGEVIGGCLGGMLMAWAAGPVSAGGYTMICATSGLANAYF</t>
  </si>
  <si>
    <t>Bac_324</t>
  </si>
  <si>
    <t>PsnEF</t>
  </si>
  <si>
    <t>PsnE</t>
  </si>
  <si>
    <r>
      <rPr>
        <sz val="10"/>
        <color theme="1" tint="0.499984740745262"/>
        <rFont val="Times New Roman"/>
        <family val="1"/>
      </rPr>
      <t>MKNTFQKIDIKDLAIVVGG</t>
    </r>
    <r>
      <rPr>
        <sz val="10"/>
        <color theme="1"/>
        <rFont val="Times New Roman"/>
        <family val="1"/>
      </rPr>
      <t>SIYSSVGYGVGVVTHTVYDFGRGFVDGFRG</t>
    </r>
  </si>
  <si>
    <t>MKNTFQKIDIKDLAIVVGG</t>
  </si>
  <si>
    <t>SIYSSVGYGVGVVTHTVYDFGRGFVDGFRG</t>
  </si>
  <si>
    <t>140_SSAL</t>
  </si>
  <si>
    <t>Bac_325</t>
  </si>
  <si>
    <t>PsnF</t>
  </si>
  <si>
    <r>
      <rPr>
        <sz val="10"/>
        <color theme="1" tint="0.499984740745262"/>
        <rFont val="Times New Roman"/>
        <family val="1"/>
      </rPr>
      <t>MDTMMMDKFDSLTFDKLSEIVGG</t>
    </r>
    <r>
      <rPr>
        <sz val="10"/>
        <color theme="1"/>
        <rFont val="Times New Roman"/>
        <family val="1"/>
      </rPr>
      <t>NVAYDIGYGVGQVSYIAVEILKLRKIR</t>
    </r>
  </si>
  <si>
    <t>MDTMMMDKFDSLTFDKLSEIVGG</t>
  </si>
  <si>
    <t>NVAYDIGYGVGQVSYIAVEILKLRKIR</t>
  </si>
  <si>
    <t>Bac_326</t>
  </si>
  <si>
    <t>PsnGH</t>
  </si>
  <si>
    <t>PsnG</t>
  </si>
  <si>
    <r>
      <rPr>
        <sz val="10"/>
        <color theme="1" tint="0.499984740745262"/>
        <rFont val="Times New Roman"/>
        <family val="1"/>
      </rPr>
      <t>MVLNLENVNCVTLQDEELMMVNGG</t>
    </r>
    <r>
      <rPr>
        <sz val="10"/>
        <color theme="1"/>
        <rFont val="Times New Roman"/>
        <family val="1"/>
      </rPr>
      <t>LAPIVIGGVVVGWKVIGGVAGVIAASGAAGIAAGYYANRP</t>
    </r>
  </si>
  <si>
    <t>MVLNLENVNCVTLQDEELMMVNGG</t>
  </si>
  <si>
    <t>LAPIVIGGVVVGWKVIGGVAGVIAASGAAGIAAGYYANRP</t>
  </si>
  <si>
    <t>Bac_327</t>
  </si>
  <si>
    <t>PsnH</t>
  </si>
  <si>
    <r>
      <rPr>
        <sz val="10"/>
        <color theme="1" tint="0.499984740745262"/>
        <rFont val="Times New Roman"/>
        <family val="1"/>
      </rPr>
      <t>MSKKYELSKKELQEIQGG</t>
    </r>
    <r>
      <rPr>
        <sz val="10"/>
        <color theme="1"/>
        <rFont val="Times New Roman"/>
        <family val="1"/>
      </rPr>
      <t>VAPIMVAIGLGSLAVASFSSGYKFGTDLARRGR</t>
    </r>
  </si>
  <si>
    <t>MSKKYELSKKELQEIQGG</t>
  </si>
  <si>
    <t>VAPIMVAIGLGSLAVASFSSGYKFGTDLARRGR</t>
  </si>
  <si>
    <t>Bac_328</t>
  </si>
  <si>
    <t>SlvYZ</t>
  </si>
  <si>
    <t>SlvY</t>
  </si>
  <si>
    <r>
      <rPr>
        <sz val="10"/>
        <color theme="1" tint="0.499984740745262"/>
        <rFont val="Times New Roman"/>
        <family val="1"/>
      </rPr>
      <t>MINKEMKAADLASVTGG</t>
    </r>
    <r>
      <rPr>
        <sz val="10"/>
        <color theme="1"/>
        <rFont val="Times New Roman"/>
        <family val="1"/>
      </rPr>
      <t>GWKTNLAIGGLCLASGPIGTMVCLGAYNGYMDSAR</t>
    </r>
  </si>
  <si>
    <t>MINKEMKAADLASVTGG</t>
  </si>
  <si>
    <t>GWKTNLAIGGLCLASGPIGTMVCLGAYNGYMDSAR</t>
  </si>
  <si>
    <t>ATCC 25975</t>
  </si>
  <si>
    <t>Bac_329</t>
  </si>
  <si>
    <t>SlvZ</t>
  </si>
  <si>
    <r>
      <rPr>
        <sz val="10"/>
        <color theme="1" tint="0.499984740745262"/>
        <rFont val="Times New Roman"/>
        <family val="1"/>
      </rPr>
      <t>MTKTINNRKNMTTQELEAVSGG</t>
    </r>
    <r>
      <rPr>
        <sz val="10"/>
        <color theme="1"/>
        <rFont val="Times New Roman"/>
        <family val="1"/>
      </rPr>
      <t>VVPWAAISVGIAAAKLTYDLSYAAGKSFYNLTH</t>
    </r>
  </si>
  <si>
    <t>MTKTINNRKNMTTQELEAVSGG</t>
  </si>
  <si>
    <t>VVPWAAISVGIAAAKLTYDLSYAAGKSFYNLTH</t>
  </si>
  <si>
    <t>Bac_330</t>
  </si>
  <si>
    <t>PsnI</t>
  </si>
  <si>
    <r>
      <rPr>
        <sz val="10"/>
        <color theme="1" tint="0.499984740745262"/>
        <rFont val="Times New Roman"/>
        <family val="1"/>
      </rPr>
      <t>MTTQIINNFNSLNSEDLSIIEGG</t>
    </r>
    <r>
      <rPr>
        <sz val="10"/>
        <color theme="1"/>
        <rFont val="Times New Roman"/>
        <family val="1"/>
      </rPr>
      <t>GVIGCVAGTAGSAGLGFLTGTSVGTVTFPIVGTVSGGAFGAWSGAGLGMATFCGV</t>
    </r>
  </si>
  <si>
    <t>MTTQIINNFNSLNSEDLSIIEGG</t>
  </si>
  <si>
    <t>GVIGCVAGTAGSAGLGFLTGTSVGTVTFPIVGTVSGGAFGAWSGAGLGMATFCGV</t>
  </si>
  <si>
    <t>Bac_331</t>
  </si>
  <si>
    <t>PsnJ</t>
  </si>
  <si>
    <r>
      <rPr>
        <sz val="10"/>
        <color theme="1" tint="0.499984740745262"/>
        <rFont val="Times New Roman"/>
        <family val="1"/>
      </rPr>
      <t>MTTQTINTFETLDFEALANVEGG</t>
    </r>
    <r>
      <rPr>
        <sz val="10"/>
        <color theme="1"/>
        <rFont val="Times New Roman"/>
        <family val="1"/>
      </rPr>
      <t>KVNWDRLSSSASGAAEGIYFCAASGAPLFTLAPYAIVGCGVVGAGLGYAFPH</t>
    </r>
  </si>
  <si>
    <t>MTTQTINTFETLDFEALANVEGG</t>
  </si>
  <si>
    <t>KVNWDRLSSSASGAAEGIYFCAASGAPLFTLAPYAIVGCGVVGAGLGYAFPH</t>
  </si>
  <si>
    <t>ICDC2</t>
  </si>
  <si>
    <t>Bac_332</t>
  </si>
  <si>
    <t>PsnK</t>
  </si>
  <si>
    <r>
      <rPr>
        <sz val="10"/>
        <color theme="1" tint="0.499984740745262"/>
        <rFont val="Times New Roman"/>
        <family val="1"/>
      </rPr>
      <t>MATKTIENFNTLDFETLASVEGG</t>
    </r>
    <r>
      <rPr>
        <sz val="10"/>
        <color theme="1"/>
        <rFont val="Times New Roman"/>
        <family val="1"/>
      </rPr>
      <t>KVIYYGNGLYCKSNGGCWVDWSQTINSILTNSAMNWATRGNAGWHSGGIAP</t>
    </r>
  </si>
  <si>
    <t>MATKTIENFNTLDFETLASVEGG</t>
  </si>
  <si>
    <t>KVIYYGNGLYCKSNGGCWVDWSQTINSILTNSAMNWATRGNAGWHSGGIAP</t>
  </si>
  <si>
    <t>ICDC1</t>
  </si>
  <si>
    <t>Bac_333</t>
  </si>
  <si>
    <t>PsnL</t>
  </si>
  <si>
    <r>
      <rPr>
        <sz val="10"/>
        <color theme="1" tint="0.499984740745262"/>
        <rFont val="Times New Roman"/>
        <family val="1"/>
      </rPr>
      <t>MTTQTMNTFETLDLETLANVEGG</t>
    </r>
    <r>
      <rPr>
        <sz val="10"/>
        <color theme="1"/>
        <rFont val="Times New Roman"/>
        <family val="1"/>
      </rPr>
      <t>GWVKCYAGTIGSALVGSAGGPVGYWGGALVGYATFC</t>
    </r>
  </si>
  <si>
    <t>MTTQTMNTFETLDLETLANVEGG</t>
  </si>
  <si>
    <t>GWVKCYAGTIGSALVGSAGGPVGYWGGALVGYATFC</t>
  </si>
  <si>
    <t>1270_SSAL</t>
  </si>
  <si>
    <t>Bac_334</t>
  </si>
  <si>
    <t>PsnM</t>
  </si>
  <si>
    <r>
      <rPr>
        <sz val="10"/>
        <color theme="1" tint="0.499984740745262"/>
        <rFont val="Times New Roman"/>
        <family val="1"/>
      </rPr>
      <t>MATQTIENFNTLDLETLASVEGG</t>
    </r>
    <r>
      <rPr>
        <sz val="10"/>
        <color theme="1"/>
        <rFont val="Times New Roman"/>
        <family val="1"/>
      </rPr>
      <t>GCSWRGAGGATVQGAIGGAFGGNVVLPVVGSVPGYLAGGVLGGAGGAVAYGATCWWS</t>
    </r>
  </si>
  <si>
    <t>GCSWRGAGGATVQGAIGGAFGGNVVLPVVGSVPGYLAGGVLGGAGGAVAYGATCWWS</t>
  </si>
  <si>
    <t>PS4</t>
  </si>
  <si>
    <t>Bac_335</t>
  </si>
  <si>
    <t>SlvV</t>
  </si>
  <si>
    <r>
      <rPr>
        <sz val="10"/>
        <color theme="1" tint="0.499984740745262"/>
        <rFont val="Times New Roman"/>
        <family val="1"/>
      </rPr>
      <t>MTTQIINNFNSLNSEDLSTVKGG</t>
    </r>
    <r>
      <rPr>
        <sz val="10"/>
        <color theme="1"/>
        <rFont val="Times New Roman"/>
        <family val="1"/>
      </rPr>
      <t>ACSFWGATAAVGVGAVGGAIKGGIQTGTWQGAALKGIGYGIKDGITYGLICRY</t>
    </r>
  </si>
  <si>
    <t>MTTQIINNFNSLNSEDLSTVKGG</t>
  </si>
  <si>
    <t>ACSFWGATAAVGVGAVGGAIKGGIQTGTWQGAALKGIGYGIKDGITYGLICRY</t>
  </si>
  <si>
    <t>Bac_336</t>
  </si>
  <si>
    <t>SlvX</t>
  </si>
  <si>
    <r>
      <rPr>
        <sz val="10"/>
        <color theme="1" tint="0.499984740745262"/>
        <rFont val="Times New Roman"/>
        <family val="1"/>
      </rPr>
      <t>MKTSEMTQQVLTHQELSVVVGG</t>
    </r>
    <r>
      <rPr>
        <sz val="10"/>
        <color theme="1"/>
        <rFont val="Times New Roman"/>
        <family val="1"/>
      </rPr>
      <t>GCSWNNAAKAALGTSITGLITSGPGGALLGLAGGAVSYGALCWV</t>
    </r>
  </si>
  <si>
    <t>MKTSEMTQQVLTHQELSVVVGG</t>
  </si>
  <si>
    <t>GCSWNNAAKAALGTSITGLITSGPGGALLGLAGGAVSYGALCWV</t>
  </si>
  <si>
    <t>BIOML-A3</t>
  </si>
  <si>
    <t>Bac_337</t>
  </si>
  <si>
    <t>arachnicin</t>
  </si>
  <si>
    <t>MALFSRLVSYAWNFGRKVVNWIWSHRNIILDWLRNGLAFDVIIVRVRRYLGI</t>
  </si>
  <si>
    <t>Arachnia sp905372155</t>
  </si>
  <si>
    <t>10.1128/jb.00298-24</t>
  </si>
  <si>
    <t>Discovery and synthesis of leaderless bacteriocins from the Actinomycetota</t>
  </si>
  <si>
    <t>Bac_338</t>
  </si>
  <si>
    <t>arcanocin</t>
  </si>
  <si>
    <t>MSAVAKIISIVGKYGSKAVHWCKNNVGTILNWINAGQTIEWIVNKIRRIVGV</t>
  </si>
  <si>
    <t>Arcanobacterium_A sp902464405</t>
  </si>
  <si>
    <t>Bac_339</t>
  </si>
  <si>
    <t>MWGRILAFVAKYGTKAVQWAWKNKWFLLSLGEAVFDYIRSIWGG</t>
  </si>
  <si>
    <t>Streptococcus ursoris</t>
  </si>
  <si>
    <t>DSM22768</t>
  </si>
  <si>
    <t>10.1128/aem.00162-24</t>
  </si>
  <si>
    <t>Ursoricin, a bacteriocin of Streptococcus ursoris, has potent activity against methicillin-resistant Staphylococcus aureus and vancomycin-resistant enterococci</t>
  </si>
  <si>
    <t>Bac_340</t>
  </si>
  <si>
    <t>bactofencin YH</t>
  </si>
  <si>
    <r>
      <rPr>
        <sz val="10"/>
        <color theme="1" tint="0.499984740745262"/>
        <rFont val="Times New Roman"/>
        <family val="1"/>
      </rPr>
      <t>MLKHLKKIVNYRKLSNQDLSKINGG</t>
    </r>
    <r>
      <rPr>
        <sz val="10"/>
        <color theme="1"/>
        <rFont val="Times New Roman"/>
        <family val="1"/>
      </rPr>
      <t>KRKKHKCQIYNNGMPTGQYRWC</t>
    </r>
  </si>
  <si>
    <t>MLKHLKKIVNYRKLSNQDLSKINGG</t>
  </si>
  <si>
    <t>KRKKHKCQIYNNGMPTGQYRWC</t>
  </si>
  <si>
    <t>D1</t>
  </si>
  <si>
    <t>10.1007/s11274-024-04100-0</t>
  </si>
  <si>
    <t>Bactofencin YH, a novel bacteriocin with high inhibitory activity against clinical Streptococcus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</si>
</sst>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charset val="134"/>
      <scheme val="minor"/>
    </font>
    <font>
      <u/>
      <sz val="12"/>
      <color theme="10"/>
      <name val="Aptos Narrow"/>
      <family val="2"/>
      <charset val="134"/>
      <scheme val="minor"/>
    </font>
    <font>
      <b/>
      <sz val="10"/>
      <color theme="1"/>
      <name val="Times New Roman"/>
      <family val="1"/>
    </font>
    <font>
      <sz val="9"/>
      <name val="Aptos Narrow"/>
      <family val="2"/>
      <charset val="134"/>
      <scheme val="minor"/>
    </font>
    <font>
      <sz val="10"/>
      <color theme="1"/>
      <name val="Times New Roman"/>
      <family val="1"/>
    </font>
    <font>
      <sz val="11"/>
      <color theme="1"/>
      <name val="Aptos Narrow"/>
      <family val="2"/>
      <scheme val="minor"/>
    </font>
    <font>
      <sz val="10"/>
      <color theme="0" tint="-0.249977111117893"/>
      <name val="Times New Roman"/>
      <family val="1"/>
    </font>
    <font>
      <i/>
      <sz val="10"/>
      <color theme="1"/>
      <name val="Times New Roman"/>
      <family val="1"/>
    </font>
    <font>
      <sz val="10"/>
      <color theme="0" tint="-0.34998626667073579"/>
      <name val="Times New Roman"/>
      <family val="1"/>
    </font>
    <font>
      <u/>
      <sz val="10"/>
      <color theme="10"/>
      <name val="Times New Roman"/>
      <family val="1"/>
    </font>
    <font>
      <sz val="10"/>
      <color theme="6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0"/>
      <color theme="0" tint="-0.499984740745262"/>
      <name val="Times New Roman"/>
      <family val="1"/>
    </font>
    <font>
      <sz val="10"/>
      <color theme="1" tint="0.49998474074526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quotePrefix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0" borderId="0" xfId="1" applyFont="1" applyBorder="1" applyAlignment="1">
      <alignment horizontal="left" vertical="center" wrapText="1"/>
    </xf>
    <xf numFmtId="0" fontId="4" fillId="0" borderId="0" xfId="0" quotePrefix="1" applyFont="1" applyAlignment="1">
      <alignment horizontal="left" vertical="center"/>
    </xf>
    <xf numFmtId="0" fontId="9" fillId="0" borderId="0" xfId="1" applyFont="1" applyFill="1" applyBorder="1" applyAlignment="1">
      <alignment horizontal="left" vertical="center" wrapText="1"/>
    </xf>
    <xf numFmtId="0" fontId="4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128/AEM.01597-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596EB-27F1-4348-8884-3E33F7D71EF9}">
  <dimension ref="A1:AA342"/>
  <sheetViews>
    <sheetView tabSelected="1" topLeftCell="H159" workbookViewId="0">
      <selection activeCell="H284" sqref="H284"/>
    </sheetView>
  </sheetViews>
  <sheetFormatPr baseColWidth="10" defaultRowHeight="16" x14ac:dyDescent="0.2"/>
  <cols>
    <col min="1" max="1" width="7.5" bestFit="1" customWidth="1"/>
    <col min="2" max="2" width="23.33203125" bestFit="1" customWidth="1"/>
    <col min="3" max="3" width="9.83203125" bestFit="1" customWidth="1"/>
    <col min="4" max="4" width="35.5" bestFit="1" customWidth="1"/>
    <col min="5" max="5" width="8" bestFit="1" customWidth="1"/>
    <col min="6" max="6" width="98.5" customWidth="1"/>
    <col min="7" max="7" width="6.5" bestFit="1" customWidth="1"/>
    <col min="8" max="8" width="41.6640625" bestFit="1" customWidth="1"/>
    <col min="9" max="9" width="6.5" bestFit="1" customWidth="1"/>
    <col min="10" max="10" width="136.1640625" bestFit="1" customWidth="1"/>
    <col min="11" max="11" width="6.5" bestFit="1" customWidth="1"/>
    <col min="12" max="12" width="12.6640625" bestFit="1" customWidth="1"/>
    <col min="13" max="13" width="7.6640625" bestFit="1" customWidth="1"/>
    <col min="14" max="14" width="40.5" bestFit="1" customWidth="1"/>
    <col min="15" max="15" width="19.5" bestFit="1" customWidth="1"/>
    <col min="16" max="16" width="12" bestFit="1" customWidth="1"/>
    <col min="17" max="17" width="16.6640625" bestFit="1" customWidth="1"/>
    <col min="18" max="18" width="18.33203125" bestFit="1" customWidth="1"/>
    <col min="19" max="19" width="22.1640625" bestFit="1" customWidth="1"/>
    <col min="20" max="20" width="54.33203125" bestFit="1" customWidth="1"/>
    <col min="21" max="21" width="15.33203125" bestFit="1" customWidth="1"/>
    <col min="22" max="22" width="12.6640625" bestFit="1" customWidth="1"/>
    <col min="23" max="23" width="15.33203125" bestFit="1" customWidth="1"/>
    <col min="24" max="24" width="14" bestFit="1" customWidth="1"/>
    <col min="25" max="25" width="175.1640625" bestFit="1" customWidth="1"/>
    <col min="26" max="26" width="26.33203125" bestFit="1" customWidth="1"/>
    <col min="27" max="27" width="82.6640625" bestFit="1" customWidth="1"/>
  </cols>
  <sheetData>
    <row r="1" spans="1:27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">
      <c r="A2" s="3" t="s">
        <v>1</v>
      </c>
      <c r="B2" s="29" t="s">
        <v>2</v>
      </c>
      <c r="C2" s="29"/>
      <c r="D2" s="3" t="s">
        <v>3</v>
      </c>
      <c r="E2" s="4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8</v>
      </c>
      <c r="L2" s="3" t="s">
        <v>10</v>
      </c>
      <c r="M2" s="5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</row>
    <row r="3" spans="1:27" x14ac:dyDescent="0.2">
      <c r="A3" s="2" t="s">
        <v>26</v>
      </c>
      <c r="B3" s="24" t="s">
        <v>27</v>
      </c>
      <c r="C3" s="24"/>
      <c r="D3" s="2" t="s">
        <v>28</v>
      </c>
      <c r="E3" s="6" t="s">
        <v>29</v>
      </c>
      <c r="F3" s="2" t="s">
        <v>30</v>
      </c>
      <c r="G3" s="2">
        <f t="shared" ref="G3:G48" si="0">LEN(F3)</f>
        <v>66</v>
      </c>
      <c r="H3" s="2" t="s">
        <v>31</v>
      </c>
      <c r="I3" s="2">
        <f>LEN(H3)</f>
        <v>18</v>
      </c>
      <c r="J3" s="2" t="s">
        <v>32</v>
      </c>
      <c r="K3" s="2">
        <f>LEN(J3)</f>
        <v>48</v>
      </c>
      <c r="L3" s="2" t="s">
        <v>33</v>
      </c>
      <c r="M3" s="2" t="s">
        <v>34</v>
      </c>
      <c r="N3" s="7" t="s">
        <v>35</v>
      </c>
      <c r="O3" s="2" t="s">
        <v>36</v>
      </c>
      <c r="P3" s="8" t="s">
        <v>37</v>
      </c>
      <c r="Q3" s="8" t="s">
        <v>38</v>
      </c>
      <c r="R3" s="8" t="s">
        <v>38</v>
      </c>
      <c r="S3" s="2" t="s">
        <v>39</v>
      </c>
      <c r="T3" s="2" t="s">
        <v>40</v>
      </c>
      <c r="U3" s="2">
        <v>9353214</v>
      </c>
      <c r="V3" s="2"/>
      <c r="W3" s="2"/>
      <c r="X3" s="2"/>
      <c r="Y3" s="2" t="s">
        <v>41</v>
      </c>
      <c r="Z3" s="2" t="s">
        <v>42</v>
      </c>
      <c r="AA3" s="2"/>
    </row>
    <row r="4" spans="1:27" x14ac:dyDescent="0.2">
      <c r="A4" s="2" t="s">
        <v>43</v>
      </c>
      <c r="B4" s="26" t="s">
        <v>44</v>
      </c>
      <c r="C4" s="26"/>
      <c r="D4" s="8"/>
      <c r="E4" s="6" t="s">
        <v>29</v>
      </c>
      <c r="F4" s="2" t="s">
        <v>45</v>
      </c>
      <c r="G4" s="2">
        <f t="shared" si="0"/>
        <v>81</v>
      </c>
      <c r="H4" s="2" t="s">
        <v>46</v>
      </c>
      <c r="I4" s="2">
        <f t="shared" ref="I4:I78" si="1">LEN(H4)</f>
        <v>23</v>
      </c>
      <c r="J4" s="2" t="s">
        <v>47</v>
      </c>
      <c r="K4" s="2">
        <f t="shared" ref="K4:K78" si="2">LEN(J4)</f>
        <v>58</v>
      </c>
      <c r="L4" s="2" t="s">
        <v>33</v>
      </c>
      <c r="M4" s="2" t="s">
        <v>34</v>
      </c>
      <c r="N4" s="9" t="s">
        <v>48</v>
      </c>
      <c r="O4" s="8" t="s">
        <v>49</v>
      </c>
      <c r="P4" s="8" t="s">
        <v>37</v>
      </c>
      <c r="Q4" s="8" t="s">
        <v>38</v>
      </c>
      <c r="R4" s="8" t="s">
        <v>38</v>
      </c>
      <c r="S4" s="2" t="s">
        <v>50</v>
      </c>
      <c r="T4" s="8" t="s">
        <v>51</v>
      </c>
      <c r="U4" s="2">
        <v>7793908</v>
      </c>
      <c r="V4" s="2"/>
      <c r="W4" s="2" t="s">
        <v>52</v>
      </c>
      <c r="X4" s="2"/>
      <c r="Y4" s="2" t="s">
        <v>53</v>
      </c>
      <c r="Z4" s="2" t="s">
        <v>42</v>
      </c>
      <c r="AA4" s="2"/>
    </row>
    <row r="5" spans="1:27" x14ac:dyDescent="0.2">
      <c r="A5" s="2" t="s">
        <v>54</v>
      </c>
      <c r="B5" s="26" t="s">
        <v>55</v>
      </c>
      <c r="C5" s="26"/>
      <c r="D5" s="8" t="s">
        <v>56</v>
      </c>
      <c r="E5" s="6" t="s">
        <v>29</v>
      </c>
      <c r="F5" s="2" t="s">
        <v>57</v>
      </c>
      <c r="G5" s="2">
        <f t="shared" si="0"/>
        <v>61</v>
      </c>
      <c r="H5" s="2" t="s">
        <v>58</v>
      </c>
      <c r="I5" s="2">
        <f t="shared" si="1"/>
        <v>18</v>
      </c>
      <c r="J5" s="2" t="s">
        <v>59</v>
      </c>
      <c r="K5" s="2">
        <f t="shared" si="2"/>
        <v>43</v>
      </c>
      <c r="L5" s="2" t="s">
        <v>33</v>
      </c>
      <c r="M5" s="2" t="s">
        <v>34</v>
      </c>
      <c r="N5" s="9" t="s">
        <v>60</v>
      </c>
      <c r="O5" s="8" t="s">
        <v>61</v>
      </c>
      <c r="P5" s="8" t="s">
        <v>37</v>
      </c>
      <c r="Q5" s="8" t="s">
        <v>38</v>
      </c>
      <c r="R5" s="8" t="s">
        <v>38</v>
      </c>
      <c r="S5" s="2" t="s">
        <v>62</v>
      </c>
      <c r="T5" s="10" t="s">
        <v>63</v>
      </c>
      <c r="U5" s="2">
        <v>19933345</v>
      </c>
      <c r="V5" s="2"/>
      <c r="W5" s="2"/>
      <c r="X5" s="2"/>
      <c r="Y5" s="2" t="s">
        <v>64</v>
      </c>
      <c r="Z5" s="2" t="s">
        <v>42</v>
      </c>
      <c r="AA5" s="2"/>
    </row>
    <row r="6" spans="1:27" x14ac:dyDescent="0.2">
      <c r="A6" s="2" t="s">
        <v>65</v>
      </c>
      <c r="B6" s="26" t="s">
        <v>66</v>
      </c>
      <c r="C6" s="26"/>
      <c r="D6" s="2" t="s">
        <v>67</v>
      </c>
      <c r="E6" s="6" t="s">
        <v>29</v>
      </c>
      <c r="F6" s="2" t="s">
        <v>68</v>
      </c>
      <c r="G6" s="2">
        <f t="shared" si="0"/>
        <v>74</v>
      </c>
      <c r="H6" s="2" t="s">
        <v>69</v>
      </c>
      <c r="I6" s="2">
        <f t="shared" si="1"/>
        <v>30</v>
      </c>
      <c r="J6" s="2" t="s">
        <v>70</v>
      </c>
      <c r="K6" s="2">
        <f t="shared" si="2"/>
        <v>44</v>
      </c>
      <c r="L6" s="2" t="s">
        <v>71</v>
      </c>
      <c r="M6" s="2"/>
      <c r="N6" s="9" t="s">
        <v>72</v>
      </c>
      <c r="O6" s="8" t="s">
        <v>73</v>
      </c>
      <c r="P6" s="8" t="s">
        <v>37</v>
      </c>
      <c r="Q6" s="8" t="s">
        <v>38</v>
      </c>
      <c r="R6" s="8" t="s">
        <v>38</v>
      </c>
      <c r="S6" s="2" t="s">
        <v>74</v>
      </c>
      <c r="T6" s="10" t="s">
        <v>75</v>
      </c>
      <c r="U6" s="2">
        <v>17326750</v>
      </c>
      <c r="V6" s="2"/>
      <c r="W6" s="2" t="s">
        <v>76</v>
      </c>
      <c r="X6" s="2"/>
      <c r="Y6" s="2" t="s">
        <v>77</v>
      </c>
      <c r="Z6" s="2" t="s">
        <v>42</v>
      </c>
      <c r="AA6" s="2"/>
    </row>
    <row r="7" spans="1:27" x14ac:dyDescent="0.2">
      <c r="A7" s="2" t="s">
        <v>78</v>
      </c>
      <c r="B7" s="26" t="s">
        <v>79</v>
      </c>
      <c r="C7" s="26"/>
      <c r="D7" s="8"/>
      <c r="E7" s="6" t="s">
        <v>29</v>
      </c>
      <c r="F7" s="2" t="s">
        <v>80</v>
      </c>
      <c r="G7" s="2">
        <f t="shared" si="0"/>
        <v>76</v>
      </c>
      <c r="H7" s="2" t="s">
        <v>81</v>
      </c>
      <c r="I7" s="2">
        <f t="shared" si="1"/>
        <v>28</v>
      </c>
      <c r="J7" s="2" t="s">
        <v>82</v>
      </c>
      <c r="K7" s="2">
        <f t="shared" si="2"/>
        <v>48</v>
      </c>
      <c r="L7" s="2" t="s">
        <v>71</v>
      </c>
      <c r="M7" s="2"/>
      <c r="N7" s="9" t="s">
        <v>83</v>
      </c>
      <c r="O7" s="8" t="s">
        <v>84</v>
      </c>
      <c r="P7" s="8" t="s">
        <v>37</v>
      </c>
      <c r="Q7" s="8" t="s">
        <v>38</v>
      </c>
      <c r="R7" s="8" t="s">
        <v>38</v>
      </c>
      <c r="S7" s="2" t="s">
        <v>85</v>
      </c>
      <c r="T7" s="10" t="s">
        <v>86</v>
      </c>
      <c r="U7" s="2">
        <v>23725102</v>
      </c>
      <c r="V7" s="2"/>
      <c r="W7" s="2"/>
      <c r="X7" s="2"/>
      <c r="Y7" s="2" t="s">
        <v>87</v>
      </c>
      <c r="Z7" s="2" t="s">
        <v>42</v>
      </c>
      <c r="AA7" s="2"/>
    </row>
    <row r="8" spans="1:27" x14ac:dyDescent="0.2">
      <c r="A8" s="2" t="s">
        <v>88</v>
      </c>
      <c r="B8" s="26" t="s">
        <v>89</v>
      </c>
      <c r="C8" s="26"/>
      <c r="D8" s="2"/>
      <c r="E8" s="6" t="s">
        <v>29</v>
      </c>
      <c r="F8" s="2" t="s">
        <v>90</v>
      </c>
      <c r="G8" s="2">
        <f t="shared" si="0"/>
        <v>71</v>
      </c>
      <c r="H8" s="2" t="s">
        <v>81</v>
      </c>
      <c r="I8" s="2">
        <f t="shared" si="1"/>
        <v>28</v>
      </c>
      <c r="J8" s="2" t="s">
        <v>91</v>
      </c>
      <c r="K8" s="2">
        <f t="shared" si="2"/>
        <v>43</v>
      </c>
      <c r="L8" s="2" t="s">
        <v>71</v>
      </c>
      <c r="M8" s="2"/>
      <c r="N8" s="9" t="s">
        <v>92</v>
      </c>
      <c r="O8" s="8" t="s">
        <v>93</v>
      </c>
      <c r="P8" s="8" t="s">
        <v>37</v>
      </c>
      <c r="Q8" s="8" t="s">
        <v>38</v>
      </c>
      <c r="R8" s="8" t="s">
        <v>38</v>
      </c>
      <c r="S8" s="2" t="s">
        <v>94</v>
      </c>
      <c r="T8" s="10" t="s">
        <v>95</v>
      </c>
      <c r="U8" s="2">
        <v>22493306</v>
      </c>
      <c r="V8" s="2"/>
      <c r="W8" s="2"/>
      <c r="X8" s="2"/>
      <c r="Y8" s="2" t="s">
        <v>96</v>
      </c>
      <c r="Z8" s="2" t="s">
        <v>42</v>
      </c>
      <c r="AA8" s="2"/>
    </row>
    <row r="9" spans="1:27" x14ac:dyDescent="0.2">
      <c r="A9" s="2" t="s">
        <v>97</v>
      </c>
      <c r="B9" s="26" t="s">
        <v>98</v>
      </c>
      <c r="C9" s="26"/>
      <c r="D9" s="8"/>
      <c r="E9" s="6" t="s">
        <v>29</v>
      </c>
      <c r="F9" s="2" t="s">
        <v>99</v>
      </c>
      <c r="G9" s="2">
        <f t="shared" si="0"/>
        <v>71</v>
      </c>
      <c r="H9" s="2" t="s">
        <v>81</v>
      </c>
      <c r="I9" s="2">
        <f t="shared" si="1"/>
        <v>28</v>
      </c>
      <c r="J9" s="2" t="s">
        <v>100</v>
      </c>
      <c r="K9" s="2">
        <f t="shared" si="2"/>
        <v>43</v>
      </c>
      <c r="L9" s="2" t="s">
        <v>71</v>
      </c>
      <c r="M9" s="2"/>
      <c r="N9" s="9" t="s">
        <v>83</v>
      </c>
      <c r="O9" s="8" t="s">
        <v>101</v>
      </c>
      <c r="P9" s="8" t="s">
        <v>37</v>
      </c>
      <c r="Q9" s="8" t="s">
        <v>38</v>
      </c>
      <c r="R9" s="8" t="s">
        <v>38</v>
      </c>
      <c r="S9" s="11" t="s">
        <v>102</v>
      </c>
      <c r="T9" s="10" t="s">
        <v>103</v>
      </c>
      <c r="U9" s="2">
        <v>29306983</v>
      </c>
      <c r="V9" s="2"/>
      <c r="W9" s="2"/>
      <c r="X9" s="2"/>
      <c r="Y9" s="2" t="s">
        <v>104</v>
      </c>
      <c r="Z9" s="2" t="s">
        <v>42</v>
      </c>
      <c r="AA9" s="2"/>
    </row>
    <row r="10" spans="1:27" x14ac:dyDescent="0.2">
      <c r="A10" s="2" t="s">
        <v>105</v>
      </c>
      <c r="B10" s="26" t="s">
        <v>106</v>
      </c>
      <c r="C10" s="26"/>
      <c r="D10" s="2"/>
      <c r="E10" s="6" t="s">
        <v>29</v>
      </c>
      <c r="F10" s="2" t="s">
        <v>107</v>
      </c>
      <c r="G10" s="2">
        <f t="shared" si="0"/>
        <v>70</v>
      </c>
      <c r="H10" s="2" t="s">
        <v>108</v>
      </c>
      <c r="I10" s="2">
        <f t="shared" si="1"/>
        <v>21</v>
      </c>
      <c r="J10" s="2" t="s">
        <v>109</v>
      </c>
      <c r="K10" s="2">
        <f t="shared" si="2"/>
        <v>49</v>
      </c>
      <c r="L10" s="2" t="s">
        <v>33</v>
      </c>
      <c r="M10" s="2" t="s">
        <v>34</v>
      </c>
      <c r="N10" s="9" t="s">
        <v>110</v>
      </c>
      <c r="O10" s="8" t="s">
        <v>111</v>
      </c>
      <c r="P10" s="8" t="s">
        <v>37</v>
      </c>
      <c r="Q10" s="8" t="s">
        <v>38</v>
      </c>
      <c r="R10" s="8" t="s">
        <v>38</v>
      </c>
      <c r="S10" s="2" t="s">
        <v>112</v>
      </c>
      <c r="T10" s="12" t="s">
        <v>113</v>
      </c>
      <c r="U10" s="2">
        <v>17933926</v>
      </c>
      <c r="V10" s="2"/>
      <c r="W10" s="2"/>
      <c r="X10" s="2"/>
      <c r="Y10" s="2" t="s">
        <v>114</v>
      </c>
      <c r="Z10" s="2" t="s">
        <v>42</v>
      </c>
      <c r="AA10" s="2"/>
    </row>
    <row r="11" spans="1:27" x14ac:dyDescent="0.2">
      <c r="A11" s="2" t="s">
        <v>115</v>
      </c>
      <c r="B11" s="26" t="s">
        <v>116</v>
      </c>
      <c r="C11" s="26"/>
      <c r="D11" s="8"/>
      <c r="E11" s="6" t="s">
        <v>29</v>
      </c>
      <c r="F11" s="2" t="s">
        <v>117</v>
      </c>
      <c r="G11" s="2">
        <f t="shared" si="0"/>
        <v>69</v>
      </c>
      <c r="H11" s="2" t="s">
        <v>118</v>
      </c>
      <c r="I11" s="2">
        <f t="shared" si="1"/>
        <v>26</v>
      </c>
      <c r="J11" s="2" t="s">
        <v>119</v>
      </c>
      <c r="K11" s="2">
        <f t="shared" si="2"/>
        <v>43</v>
      </c>
      <c r="L11" s="2" t="s">
        <v>71</v>
      </c>
      <c r="M11" s="2"/>
      <c r="N11" s="9" t="s">
        <v>120</v>
      </c>
      <c r="O11" s="8" t="s">
        <v>121</v>
      </c>
      <c r="P11" s="8" t="s">
        <v>37</v>
      </c>
      <c r="Q11" s="8" t="s">
        <v>38</v>
      </c>
      <c r="R11" s="8" t="s">
        <v>38</v>
      </c>
      <c r="S11" s="2" t="s">
        <v>122</v>
      </c>
      <c r="T11" s="8" t="s">
        <v>123</v>
      </c>
      <c r="U11" s="2">
        <v>8655558</v>
      </c>
      <c r="V11" s="2"/>
      <c r="W11" s="2"/>
      <c r="X11" s="2"/>
      <c r="Y11" s="2" t="s">
        <v>124</v>
      </c>
      <c r="Z11" s="2" t="s">
        <v>42</v>
      </c>
      <c r="AA11" s="2"/>
    </row>
    <row r="12" spans="1:27" x14ac:dyDescent="0.2">
      <c r="A12" s="2" t="s">
        <v>125</v>
      </c>
      <c r="B12" s="26" t="s">
        <v>126</v>
      </c>
      <c r="C12" s="26"/>
      <c r="D12" s="8" t="s">
        <v>127</v>
      </c>
      <c r="E12" s="6" t="s">
        <v>29</v>
      </c>
      <c r="F12" s="2" t="s">
        <v>128</v>
      </c>
      <c r="G12" s="2">
        <f t="shared" si="0"/>
        <v>74</v>
      </c>
      <c r="H12" s="2" t="s">
        <v>69</v>
      </c>
      <c r="I12" s="2">
        <f t="shared" si="1"/>
        <v>30</v>
      </c>
      <c r="J12" s="2" t="s">
        <v>70</v>
      </c>
      <c r="K12" s="2">
        <f t="shared" si="2"/>
        <v>44</v>
      </c>
      <c r="L12" s="2" t="s">
        <v>71</v>
      </c>
      <c r="M12" s="2"/>
      <c r="N12" s="9" t="s">
        <v>83</v>
      </c>
      <c r="O12" s="8" t="s">
        <v>129</v>
      </c>
      <c r="P12" s="8" t="s">
        <v>37</v>
      </c>
      <c r="Q12" s="8" t="s">
        <v>38</v>
      </c>
      <c r="R12" s="8" t="s">
        <v>38</v>
      </c>
      <c r="S12" s="2" t="s">
        <v>130</v>
      </c>
      <c r="T12" s="8" t="s">
        <v>131</v>
      </c>
      <c r="U12" s="2">
        <v>17088377</v>
      </c>
      <c r="V12" s="2"/>
      <c r="W12" s="2"/>
      <c r="X12" s="2"/>
      <c r="Y12" s="2" t="s">
        <v>132</v>
      </c>
      <c r="Z12" s="2" t="s">
        <v>42</v>
      </c>
      <c r="AA12" s="2"/>
    </row>
    <row r="13" spans="1:27" x14ac:dyDescent="0.2">
      <c r="A13" s="2" t="s">
        <v>133</v>
      </c>
      <c r="B13" s="26" t="s">
        <v>134</v>
      </c>
      <c r="C13" s="26"/>
      <c r="D13" s="8" t="s">
        <v>135</v>
      </c>
      <c r="E13" s="6" t="s">
        <v>29</v>
      </c>
      <c r="F13" s="2" t="s">
        <v>136</v>
      </c>
      <c r="G13" s="2">
        <f t="shared" si="0"/>
        <v>61</v>
      </c>
      <c r="H13" s="2" t="s">
        <v>137</v>
      </c>
      <c r="I13" s="2">
        <f t="shared" si="1"/>
        <v>18</v>
      </c>
      <c r="J13" s="2" t="s">
        <v>138</v>
      </c>
      <c r="K13" s="2">
        <f t="shared" si="2"/>
        <v>43</v>
      </c>
      <c r="L13" s="2" t="s">
        <v>33</v>
      </c>
      <c r="M13" s="2" t="s">
        <v>34</v>
      </c>
      <c r="N13" s="9" t="s">
        <v>139</v>
      </c>
      <c r="O13" s="8" t="s">
        <v>140</v>
      </c>
      <c r="P13" s="8" t="s">
        <v>37</v>
      </c>
      <c r="Q13" s="8" t="s">
        <v>38</v>
      </c>
      <c r="R13" s="8" t="s">
        <v>38</v>
      </c>
      <c r="S13" s="2" t="s">
        <v>141</v>
      </c>
      <c r="T13" s="13" t="s">
        <v>102</v>
      </c>
      <c r="U13" s="2">
        <v>8163526</v>
      </c>
      <c r="V13" s="2"/>
      <c r="W13" s="2" t="s">
        <v>142</v>
      </c>
      <c r="X13" s="2"/>
      <c r="Y13" s="2" t="s">
        <v>143</v>
      </c>
      <c r="Z13" s="2" t="s">
        <v>42</v>
      </c>
      <c r="AA13" s="2"/>
    </row>
    <row r="14" spans="1:27" x14ac:dyDescent="0.2">
      <c r="A14" s="2" t="s">
        <v>144</v>
      </c>
      <c r="B14" s="26" t="s">
        <v>28</v>
      </c>
      <c r="C14" s="26"/>
      <c r="D14" s="8" t="s">
        <v>27</v>
      </c>
      <c r="E14" s="6" t="s">
        <v>29</v>
      </c>
      <c r="F14" s="2" t="s">
        <v>145</v>
      </c>
      <c r="G14" s="2">
        <f t="shared" si="0"/>
        <v>66</v>
      </c>
      <c r="H14" s="2" t="s">
        <v>31</v>
      </c>
      <c r="I14" s="2">
        <f t="shared" si="1"/>
        <v>18</v>
      </c>
      <c r="J14" s="2" t="s">
        <v>32</v>
      </c>
      <c r="K14" s="2">
        <f t="shared" si="2"/>
        <v>48</v>
      </c>
      <c r="L14" s="2" t="s">
        <v>33</v>
      </c>
      <c r="M14" s="2" t="s">
        <v>34</v>
      </c>
      <c r="N14" s="9" t="s">
        <v>139</v>
      </c>
      <c r="O14" s="8" t="s">
        <v>146</v>
      </c>
      <c r="P14" s="8" t="s">
        <v>37</v>
      </c>
      <c r="Q14" s="8" t="s">
        <v>38</v>
      </c>
      <c r="R14" s="8" t="s">
        <v>38</v>
      </c>
      <c r="S14" s="2" t="s">
        <v>147</v>
      </c>
      <c r="T14" s="13" t="s">
        <v>102</v>
      </c>
      <c r="U14" s="2">
        <v>8163526</v>
      </c>
      <c r="V14" s="2" t="s">
        <v>148</v>
      </c>
      <c r="W14" s="2" t="s">
        <v>149</v>
      </c>
      <c r="X14" s="2"/>
      <c r="Y14" s="2" t="s">
        <v>143</v>
      </c>
      <c r="Z14" s="2" t="s">
        <v>42</v>
      </c>
      <c r="AA14" s="2"/>
    </row>
    <row r="15" spans="1:27" x14ac:dyDescent="0.2">
      <c r="A15" s="2" t="s">
        <v>150</v>
      </c>
      <c r="B15" s="26" t="s">
        <v>151</v>
      </c>
      <c r="C15" s="26"/>
      <c r="D15" s="8"/>
      <c r="E15" s="6" t="s">
        <v>29</v>
      </c>
      <c r="F15" s="2" t="s">
        <v>152</v>
      </c>
      <c r="G15" s="2">
        <f t="shared" si="0"/>
        <v>68</v>
      </c>
      <c r="H15" s="2" t="s">
        <v>153</v>
      </c>
      <c r="I15" s="2">
        <f t="shared" si="1"/>
        <v>25</v>
      </c>
      <c r="J15" s="2" t="s">
        <v>154</v>
      </c>
      <c r="K15" s="2">
        <f t="shared" si="2"/>
        <v>43</v>
      </c>
      <c r="L15" s="2" t="s">
        <v>33</v>
      </c>
      <c r="M15" s="2" t="s">
        <v>34</v>
      </c>
      <c r="N15" s="9" t="s">
        <v>155</v>
      </c>
      <c r="O15" s="8">
        <v>607</v>
      </c>
      <c r="P15" s="8" t="s">
        <v>37</v>
      </c>
      <c r="Q15" s="8" t="s">
        <v>38</v>
      </c>
      <c r="R15" s="8" t="s">
        <v>38</v>
      </c>
      <c r="S15" s="11" t="s">
        <v>102</v>
      </c>
      <c r="T15" s="8" t="s">
        <v>156</v>
      </c>
      <c r="U15" s="2">
        <v>29177756</v>
      </c>
      <c r="V15" s="2"/>
      <c r="W15" s="2"/>
      <c r="X15" s="2"/>
      <c r="Y15" s="2" t="s">
        <v>157</v>
      </c>
      <c r="Z15" s="2" t="s">
        <v>42</v>
      </c>
      <c r="AA15" s="2"/>
    </row>
    <row r="16" spans="1:27" x14ac:dyDescent="0.2">
      <c r="A16" s="2" t="s">
        <v>158</v>
      </c>
      <c r="B16" s="26" t="s">
        <v>159</v>
      </c>
      <c r="C16" s="26"/>
      <c r="D16" s="2" t="s">
        <v>160</v>
      </c>
      <c r="E16" s="6" t="s">
        <v>29</v>
      </c>
      <c r="F16" s="2" t="s">
        <v>68</v>
      </c>
      <c r="G16" s="2">
        <f t="shared" si="0"/>
        <v>74</v>
      </c>
      <c r="H16" s="2" t="s">
        <v>69</v>
      </c>
      <c r="I16" s="2">
        <f t="shared" si="1"/>
        <v>30</v>
      </c>
      <c r="J16" s="2" t="s">
        <v>70</v>
      </c>
      <c r="K16" s="2">
        <f t="shared" si="2"/>
        <v>44</v>
      </c>
      <c r="L16" s="2" t="s">
        <v>71</v>
      </c>
      <c r="M16" s="2"/>
      <c r="N16" s="9" t="s">
        <v>83</v>
      </c>
      <c r="O16" s="8" t="s">
        <v>161</v>
      </c>
      <c r="P16" s="8" t="s">
        <v>37</v>
      </c>
      <c r="Q16" s="8" t="s">
        <v>38</v>
      </c>
      <c r="R16" s="8" t="s">
        <v>38</v>
      </c>
      <c r="S16" s="2" t="s">
        <v>162</v>
      </c>
      <c r="T16" s="8" t="s">
        <v>163</v>
      </c>
      <c r="U16" s="2">
        <v>16820469</v>
      </c>
      <c r="V16" s="2"/>
      <c r="W16" s="2"/>
      <c r="X16" s="2"/>
      <c r="Y16" s="2" t="s">
        <v>164</v>
      </c>
      <c r="Z16" s="2" t="s">
        <v>42</v>
      </c>
      <c r="AA16" s="2"/>
    </row>
    <row r="17" spans="1:27" x14ac:dyDescent="0.2">
      <c r="A17" s="2" t="s">
        <v>165</v>
      </c>
      <c r="B17" s="26" t="s">
        <v>166</v>
      </c>
      <c r="C17" s="26"/>
      <c r="D17" s="8"/>
      <c r="E17" s="6" t="s">
        <v>29</v>
      </c>
      <c r="F17" s="2" t="s">
        <v>167</v>
      </c>
      <c r="G17" s="2">
        <f t="shared" si="0"/>
        <v>61</v>
      </c>
      <c r="H17" s="2" t="s">
        <v>168</v>
      </c>
      <c r="I17" s="2">
        <f t="shared" si="1"/>
        <v>18</v>
      </c>
      <c r="J17" s="2" t="s">
        <v>138</v>
      </c>
      <c r="K17" s="2">
        <f t="shared" si="2"/>
        <v>43</v>
      </c>
      <c r="L17" s="2" t="s">
        <v>33</v>
      </c>
      <c r="M17" s="2" t="s">
        <v>34</v>
      </c>
      <c r="N17" s="9" t="s">
        <v>169</v>
      </c>
      <c r="O17" s="8" t="s">
        <v>170</v>
      </c>
      <c r="P17" s="8" t="s">
        <v>37</v>
      </c>
      <c r="Q17" s="8" t="s">
        <v>38</v>
      </c>
      <c r="R17" s="8" t="s">
        <v>38</v>
      </c>
      <c r="S17" s="11" t="s">
        <v>102</v>
      </c>
      <c r="T17" s="8" t="s">
        <v>171</v>
      </c>
      <c r="U17" s="2">
        <v>11097892</v>
      </c>
      <c r="V17" s="2"/>
      <c r="W17" s="2"/>
      <c r="X17" s="2"/>
      <c r="Y17" s="2" t="s">
        <v>172</v>
      </c>
      <c r="Z17" s="2" t="s">
        <v>42</v>
      </c>
      <c r="AA17" s="2"/>
    </row>
    <row r="18" spans="1:27" x14ac:dyDescent="0.2">
      <c r="A18" s="2" t="s">
        <v>173</v>
      </c>
      <c r="B18" s="26" t="s">
        <v>174</v>
      </c>
      <c r="C18" s="26"/>
      <c r="D18" s="8" t="s">
        <v>175</v>
      </c>
      <c r="E18" s="6" t="s">
        <v>29</v>
      </c>
      <c r="F18" s="2" t="s">
        <v>176</v>
      </c>
      <c r="G18" s="2">
        <f t="shared" si="0"/>
        <v>59</v>
      </c>
      <c r="H18" s="2" t="s">
        <v>177</v>
      </c>
      <c r="I18" s="2">
        <f t="shared" si="1"/>
        <v>18</v>
      </c>
      <c r="J18" s="2" t="s">
        <v>178</v>
      </c>
      <c r="K18" s="2">
        <f t="shared" si="2"/>
        <v>41</v>
      </c>
      <c r="L18" s="2" t="s">
        <v>33</v>
      </c>
      <c r="M18" s="2" t="s">
        <v>34</v>
      </c>
      <c r="N18" s="9" t="s">
        <v>179</v>
      </c>
      <c r="O18" s="8" t="s">
        <v>180</v>
      </c>
      <c r="P18" s="8" t="s">
        <v>37</v>
      </c>
      <c r="Q18" s="8" t="s">
        <v>38</v>
      </c>
      <c r="R18" s="8" t="s">
        <v>38</v>
      </c>
      <c r="S18" s="11" t="s">
        <v>102</v>
      </c>
      <c r="T18" s="8" t="s">
        <v>181</v>
      </c>
      <c r="U18" s="2">
        <v>7694558</v>
      </c>
      <c r="V18" s="2"/>
      <c r="W18" s="2" t="s">
        <v>182</v>
      </c>
      <c r="X18" s="2"/>
      <c r="Y18" s="2" t="s">
        <v>183</v>
      </c>
      <c r="Z18" s="2" t="s">
        <v>42</v>
      </c>
      <c r="AA18" s="2"/>
    </row>
    <row r="19" spans="1:27" x14ac:dyDescent="0.2">
      <c r="A19" s="2" t="s">
        <v>184</v>
      </c>
      <c r="B19" s="26" t="s">
        <v>185</v>
      </c>
      <c r="C19" s="26"/>
      <c r="D19" s="8"/>
      <c r="E19" s="6" t="s">
        <v>29</v>
      </c>
      <c r="F19" s="2" t="s">
        <v>186</v>
      </c>
      <c r="G19" s="2">
        <f t="shared" si="0"/>
        <v>66</v>
      </c>
      <c r="H19" s="2" t="s">
        <v>187</v>
      </c>
      <c r="I19" s="2">
        <f t="shared" si="1"/>
        <v>23</v>
      </c>
      <c r="J19" s="2" t="s">
        <v>188</v>
      </c>
      <c r="K19" s="2">
        <f t="shared" si="2"/>
        <v>43</v>
      </c>
      <c r="L19" s="2" t="s">
        <v>33</v>
      </c>
      <c r="M19" s="2" t="s">
        <v>34</v>
      </c>
      <c r="N19" s="9" t="s">
        <v>189</v>
      </c>
      <c r="O19" s="8" t="s">
        <v>190</v>
      </c>
      <c r="P19" s="8" t="s">
        <v>37</v>
      </c>
      <c r="Q19" s="8" t="s">
        <v>38</v>
      </c>
      <c r="R19" s="8" t="s">
        <v>38</v>
      </c>
      <c r="S19" s="2" t="s">
        <v>191</v>
      </c>
      <c r="T19" s="8" t="s">
        <v>192</v>
      </c>
      <c r="U19" s="2">
        <v>9802025</v>
      </c>
      <c r="V19" s="2"/>
      <c r="W19" s="14" t="s">
        <v>193</v>
      </c>
      <c r="X19" s="2"/>
      <c r="Y19" s="2" t="s">
        <v>194</v>
      </c>
      <c r="Z19" s="2" t="s">
        <v>42</v>
      </c>
      <c r="AA19" s="2"/>
    </row>
    <row r="20" spans="1:27" x14ac:dyDescent="0.2">
      <c r="A20" s="2" t="s">
        <v>195</v>
      </c>
      <c r="B20" s="26" t="s">
        <v>196</v>
      </c>
      <c r="C20" s="26"/>
      <c r="D20" s="8" t="s">
        <v>197</v>
      </c>
      <c r="E20" s="6" t="s">
        <v>29</v>
      </c>
      <c r="F20" s="2" t="s">
        <v>198</v>
      </c>
      <c r="G20" s="2">
        <f t="shared" si="0"/>
        <v>65</v>
      </c>
      <c r="H20" s="2" t="s">
        <v>199</v>
      </c>
      <c r="I20" s="2">
        <f t="shared" si="1"/>
        <v>18</v>
      </c>
      <c r="J20" s="2" t="s">
        <v>200</v>
      </c>
      <c r="K20" s="2">
        <f t="shared" si="2"/>
        <v>47</v>
      </c>
      <c r="L20" s="2" t="s">
        <v>33</v>
      </c>
      <c r="M20" s="2" t="s">
        <v>34</v>
      </c>
      <c r="N20" s="9" t="s">
        <v>83</v>
      </c>
      <c r="O20" s="8" t="s">
        <v>201</v>
      </c>
      <c r="P20" s="8" t="s">
        <v>37</v>
      </c>
      <c r="Q20" s="8" t="s">
        <v>38</v>
      </c>
      <c r="R20" s="8" t="s">
        <v>38</v>
      </c>
      <c r="S20" s="11" t="s">
        <v>102</v>
      </c>
      <c r="T20" s="8" t="s">
        <v>202</v>
      </c>
      <c r="U20" s="2">
        <v>8633865</v>
      </c>
      <c r="V20" s="2"/>
      <c r="W20" s="2"/>
      <c r="X20" s="2"/>
      <c r="Y20" s="2" t="s">
        <v>203</v>
      </c>
      <c r="Z20" s="2" t="s">
        <v>42</v>
      </c>
      <c r="AA20" s="2"/>
    </row>
    <row r="21" spans="1:27" x14ac:dyDescent="0.2">
      <c r="A21" s="2" t="s">
        <v>204</v>
      </c>
      <c r="B21" s="26" t="s">
        <v>197</v>
      </c>
      <c r="C21" s="26"/>
      <c r="D21" s="8" t="s">
        <v>196</v>
      </c>
      <c r="E21" s="6" t="s">
        <v>29</v>
      </c>
      <c r="F21" s="2" t="s">
        <v>198</v>
      </c>
      <c r="G21" s="2">
        <f t="shared" si="0"/>
        <v>65</v>
      </c>
      <c r="H21" s="2" t="s">
        <v>199</v>
      </c>
      <c r="I21" s="2">
        <f t="shared" si="1"/>
        <v>18</v>
      </c>
      <c r="J21" s="2" t="s">
        <v>200</v>
      </c>
      <c r="K21" s="2">
        <f t="shared" si="2"/>
        <v>47</v>
      </c>
      <c r="L21" s="2" t="s">
        <v>33</v>
      </c>
      <c r="M21" s="2" t="s">
        <v>34</v>
      </c>
      <c r="N21" s="9" t="s">
        <v>83</v>
      </c>
      <c r="O21" s="8" t="s">
        <v>205</v>
      </c>
      <c r="P21" s="8" t="s">
        <v>37</v>
      </c>
      <c r="Q21" s="8" t="s">
        <v>38</v>
      </c>
      <c r="R21" s="8" t="s">
        <v>38</v>
      </c>
      <c r="S21" s="2" t="s">
        <v>206</v>
      </c>
      <c r="T21" s="8" t="s">
        <v>207</v>
      </c>
      <c r="U21" s="2">
        <v>22790957</v>
      </c>
      <c r="V21" s="2"/>
      <c r="W21" s="2"/>
      <c r="X21" s="2"/>
      <c r="Y21" s="2" t="s">
        <v>208</v>
      </c>
      <c r="Z21" s="2" t="s">
        <v>42</v>
      </c>
      <c r="AA21" s="2"/>
    </row>
    <row r="22" spans="1:27" x14ac:dyDescent="0.2">
      <c r="A22" s="2" t="s">
        <v>209</v>
      </c>
      <c r="B22" s="26" t="s">
        <v>210</v>
      </c>
      <c r="C22" s="26"/>
      <c r="D22" s="8"/>
      <c r="E22" s="6" t="s">
        <v>29</v>
      </c>
      <c r="F22" s="2" t="s">
        <v>211</v>
      </c>
      <c r="G22" s="2">
        <f t="shared" si="0"/>
        <v>58</v>
      </c>
      <c r="H22" s="2" t="s">
        <v>212</v>
      </c>
      <c r="I22" s="2">
        <f t="shared" si="1"/>
        <v>15</v>
      </c>
      <c r="J22" s="2" t="s">
        <v>213</v>
      </c>
      <c r="K22" s="2">
        <f t="shared" si="2"/>
        <v>43</v>
      </c>
      <c r="L22" s="2" t="s">
        <v>33</v>
      </c>
      <c r="M22" s="2" t="s">
        <v>34</v>
      </c>
      <c r="N22" s="9" t="s">
        <v>214</v>
      </c>
      <c r="O22" s="8" t="s">
        <v>215</v>
      </c>
      <c r="P22" s="8" t="s">
        <v>37</v>
      </c>
      <c r="Q22" s="8" t="s">
        <v>38</v>
      </c>
      <c r="R22" s="8" t="s">
        <v>38</v>
      </c>
      <c r="S22" s="2" t="s">
        <v>216</v>
      </c>
      <c r="T22" s="8" t="s">
        <v>217</v>
      </c>
      <c r="U22" s="2">
        <v>15215149</v>
      </c>
      <c r="V22" s="2"/>
      <c r="W22" s="2" t="s">
        <v>218</v>
      </c>
      <c r="X22" s="2"/>
      <c r="Y22" s="2" t="s">
        <v>219</v>
      </c>
      <c r="Z22" s="2" t="s">
        <v>42</v>
      </c>
      <c r="AA22" s="2"/>
    </row>
    <row r="23" spans="1:27" x14ac:dyDescent="0.2">
      <c r="A23" s="2" t="s">
        <v>220</v>
      </c>
      <c r="B23" s="26" t="s">
        <v>221</v>
      </c>
      <c r="C23" s="26"/>
      <c r="D23" s="8"/>
      <c r="E23" s="6" t="s">
        <v>29</v>
      </c>
      <c r="F23" s="2" t="s">
        <v>222</v>
      </c>
      <c r="G23" s="2">
        <f t="shared" si="0"/>
        <v>58</v>
      </c>
      <c r="H23" s="2" t="s">
        <v>212</v>
      </c>
      <c r="I23" s="2">
        <f t="shared" si="1"/>
        <v>15</v>
      </c>
      <c r="J23" s="2" t="s">
        <v>223</v>
      </c>
      <c r="K23" s="2">
        <f t="shared" si="2"/>
        <v>43</v>
      </c>
      <c r="L23" s="2" t="s">
        <v>33</v>
      </c>
      <c r="M23" s="2" t="s">
        <v>34</v>
      </c>
      <c r="N23" s="9" t="s">
        <v>214</v>
      </c>
      <c r="O23" s="8" t="s">
        <v>224</v>
      </c>
      <c r="P23" s="8" t="s">
        <v>37</v>
      </c>
      <c r="Q23" s="8" t="s">
        <v>38</v>
      </c>
      <c r="R23" s="8" t="s">
        <v>38</v>
      </c>
      <c r="S23" s="2" t="s">
        <v>225</v>
      </c>
      <c r="T23" s="8" t="s">
        <v>226</v>
      </c>
      <c r="U23" s="2">
        <v>19581470</v>
      </c>
      <c r="V23" s="2"/>
      <c r="W23" s="2"/>
      <c r="X23" s="2"/>
      <c r="Y23" s="2" t="s">
        <v>227</v>
      </c>
      <c r="Z23" s="2" t="s">
        <v>42</v>
      </c>
      <c r="AA23" s="2"/>
    </row>
    <row r="24" spans="1:27" x14ac:dyDescent="0.2">
      <c r="A24" s="2" t="s">
        <v>228</v>
      </c>
      <c r="B24" s="26" t="s">
        <v>229</v>
      </c>
      <c r="C24" s="26"/>
      <c r="D24" s="8"/>
      <c r="E24" s="6" t="s">
        <v>29</v>
      </c>
      <c r="F24" s="2" t="s">
        <v>230</v>
      </c>
      <c r="G24" s="2">
        <f t="shared" si="0"/>
        <v>58</v>
      </c>
      <c r="H24" s="2" t="s">
        <v>231</v>
      </c>
      <c r="I24" s="2">
        <f t="shared" si="1"/>
        <v>15</v>
      </c>
      <c r="J24" s="2" t="s">
        <v>232</v>
      </c>
      <c r="K24" s="2">
        <f t="shared" si="2"/>
        <v>43</v>
      </c>
      <c r="L24" s="2" t="s">
        <v>33</v>
      </c>
      <c r="M24" s="2" t="s">
        <v>34</v>
      </c>
      <c r="N24" s="9" t="s">
        <v>233</v>
      </c>
      <c r="O24" s="8" t="s">
        <v>101</v>
      </c>
      <c r="P24" s="8" t="s">
        <v>37</v>
      </c>
      <c r="Q24" s="8" t="s">
        <v>38</v>
      </c>
      <c r="R24" s="8" t="s">
        <v>38</v>
      </c>
      <c r="S24" s="11" t="s">
        <v>102</v>
      </c>
      <c r="T24" s="8" t="s">
        <v>234</v>
      </c>
      <c r="U24" s="2">
        <v>26585399</v>
      </c>
      <c r="V24" s="2"/>
      <c r="W24" s="2"/>
      <c r="X24" s="2"/>
      <c r="Y24" s="2" t="s">
        <v>235</v>
      </c>
      <c r="Z24" s="2" t="s">
        <v>42</v>
      </c>
      <c r="AA24" s="2"/>
    </row>
    <row r="25" spans="1:27" x14ac:dyDescent="0.2">
      <c r="A25" s="2" t="s">
        <v>236</v>
      </c>
      <c r="B25" s="26" t="s">
        <v>237</v>
      </c>
      <c r="C25" s="26"/>
      <c r="D25" s="8"/>
      <c r="E25" s="6" t="s">
        <v>29</v>
      </c>
      <c r="F25" s="2" t="s">
        <v>238</v>
      </c>
      <c r="G25" s="2">
        <f t="shared" si="0"/>
        <v>71</v>
      </c>
      <c r="H25" s="2" t="s">
        <v>239</v>
      </c>
      <c r="I25" s="2">
        <f t="shared" si="1"/>
        <v>27</v>
      </c>
      <c r="J25" s="2" t="s">
        <v>240</v>
      </c>
      <c r="K25" s="2">
        <f t="shared" si="2"/>
        <v>44</v>
      </c>
      <c r="L25" s="2" t="s">
        <v>71</v>
      </c>
      <c r="M25" s="2"/>
      <c r="N25" s="9" t="s">
        <v>83</v>
      </c>
      <c r="O25" s="8" t="s">
        <v>241</v>
      </c>
      <c r="P25" s="8" t="s">
        <v>37</v>
      </c>
      <c r="Q25" s="8" t="s">
        <v>38</v>
      </c>
      <c r="R25" s="8" t="s">
        <v>38</v>
      </c>
      <c r="S25" s="2" t="s">
        <v>242</v>
      </c>
      <c r="T25" s="8" t="s">
        <v>243</v>
      </c>
      <c r="U25" s="2">
        <v>9361419</v>
      </c>
      <c r="V25" s="2"/>
      <c r="W25" s="2"/>
      <c r="X25" s="2"/>
      <c r="Y25" s="2" t="s">
        <v>244</v>
      </c>
      <c r="Z25" s="2" t="s">
        <v>42</v>
      </c>
      <c r="AA25" s="2"/>
    </row>
    <row r="26" spans="1:27" x14ac:dyDescent="0.2">
      <c r="A26" s="2" t="s">
        <v>245</v>
      </c>
      <c r="B26" s="26" t="s">
        <v>246</v>
      </c>
      <c r="C26" s="26"/>
      <c r="D26" s="8"/>
      <c r="E26" s="6" t="s">
        <v>29</v>
      </c>
      <c r="F26" s="2" t="s">
        <v>247</v>
      </c>
      <c r="G26" s="2">
        <f t="shared" si="0"/>
        <v>71</v>
      </c>
      <c r="H26" s="2" t="s">
        <v>248</v>
      </c>
      <c r="I26" s="2">
        <f t="shared" si="1"/>
        <v>28</v>
      </c>
      <c r="J26" s="2" t="s">
        <v>249</v>
      </c>
      <c r="K26" s="2">
        <f t="shared" si="2"/>
        <v>43</v>
      </c>
      <c r="L26" s="2" t="s">
        <v>71</v>
      </c>
      <c r="M26" s="2"/>
      <c r="N26" s="9" t="s">
        <v>120</v>
      </c>
      <c r="O26" s="8" t="s">
        <v>250</v>
      </c>
      <c r="P26" s="8" t="s">
        <v>37</v>
      </c>
      <c r="Q26" s="8" t="s">
        <v>38</v>
      </c>
      <c r="R26" s="8" t="s">
        <v>38</v>
      </c>
      <c r="S26" s="11" t="s">
        <v>102</v>
      </c>
      <c r="T26" s="8" t="s">
        <v>251</v>
      </c>
      <c r="U26" s="2">
        <v>11302155</v>
      </c>
      <c r="V26" s="2"/>
      <c r="W26" s="2"/>
      <c r="X26" s="2"/>
      <c r="Y26" s="2" t="s">
        <v>252</v>
      </c>
      <c r="Z26" s="2" t="s">
        <v>42</v>
      </c>
      <c r="AA26" s="2"/>
    </row>
    <row r="27" spans="1:27" x14ac:dyDescent="0.2">
      <c r="A27" s="2" t="s">
        <v>253</v>
      </c>
      <c r="B27" s="26" t="s">
        <v>254</v>
      </c>
      <c r="C27" s="26"/>
      <c r="D27" s="8"/>
      <c r="E27" s="6" t="s">
        <v>29</v>
      </c>
      <c r="F27" s="2" t="s">
        <v>255</v>
      </c>
      <c r="G27" s="2">
        <f t="shared" si="0"/>
        <v>61</v>
      </c>
      <c r="H27" s="2" t="s">
        <v>256</v>
      </c>
      <c r="I27" s="2">
        <f t="shared" si="1"/>
        <v>24</v>
      </c>
      <c r="J27" s="2" t="s">
        <v>257</v>
      </c>
      <c r="K27" s="2">
        <f t="shared" si="2"/>
        <v>37</v>
      </c>
      <c r="L27" s="2" t="s">
        <v>33</v>
      </c>
      <c r="M27" s="2" t="s">
        <v>34</v>
      </c>
      <c r="N27" s="9" t="s">
        <v>258</v>
      </c>
      <c r="O27" s="8" t="s">
        <v>259</v>
      </c>
      <c r="P27" s="8" t="s">
        <v>37</v>
      </c>
      <c r="Q27" s="8" t="s">
        <v>38</v>
      </c>
      <c r="R27" s="8" t="s">
        <v>38</v>
      </c>
      <c r="S27" s="2" t="s">
        <v>260</v>
      </c>
      <c r="T27" s="8" t="s">
        <v>261</v>
      </c>
      <c r="U27" s="2">
        <v>1840587</v>
      </c>
      <c r="V27" s="2"/>
      <c r="W27" s="2" t="s">
        <v>262</v>
      </c>
      <c r="X27" s="2"/>
      <c r="Y27" s="2" t="s">
        <v>263</v>
      </c>
      <c r="Z27" s="2" t="s">
        <v>42</v>
      </c>
      <c r="AA27" s="2"/>
    </row>
    <row r="28" spans="1:27" x14ac:dyDescent="0.2">
      <c r="A28" s="2" t="s">
        <v>264</v>
      </c>
      <c r="B28" s="26" t="s">
        <v>265</v>
      </c>
      <c r="C28" s="26"/>
      <c r="D28" s="8"/>
      <c r="E28" s="6" t="s">
        <v>29</v>
      </c>
      <c r="F28" s="2" t="s">
        <v>266</v>
      </c>
      <c r="G28" s="2">
        <f t="shared" si="0"/>
        <v>61</v>
      </c>
      <c r="H28" s="2" t="s">
        <v>267</v>
      </c>
      <c r="I28" s="2">
        <f t="shared" si="1"/>
        <v>24</v>
      </c>
      <c r="J28" s="2" t="s">
        <v>257</v>
      </c>
      <c r="K28" s="2">
        <f t="shared" si="2"/>
        <v>37</v>
      </c>
      <c r="L28" s="2" t="s">
        <v>33</v>
      </c>
      <c r="M28" s="2" t="s">
        <v>34</v>
      </c>
      <c r="N28" s="9" t="s">
        <v>268</v>
      </c>
      <c r="O28" s="8" t="s">
        <v>269</v>
      </c>
      <c r="P28" s="8" t="s">
        <v>37</v>
      </c>
      <c r="Q28" s="8" t="s">
        <v>38</v>
      </c>
      <c r="R28" s="8" t="s">
        <v>38</v>
      </c>
      <c r="S28" s="11" t="s">
        <v>102</v>
      </c>
      <c r="T28" s="8" t="s">
        <v>270</v>
      </c>
      <c r="U28" s="2">
        <v>7765496</v>
      </c>
      <c r="V28" s="2"/>
      <c r="W28" s="2"/>
      <c r="X28" s="2"/>
      <c r="Y28" s="2" t="s">
        <v>271</v>
      </c>
      <c r="Z28" s="2" t="s">
        <v>42</v>
      </c>
      <c r="AA28" s="2"/>
    </row>
    <row r="29" spans="1:27" x14ac:dyDescent="0.2">
      <c r="A29" s="2" t="s">
        <v>272</v>
      </c>
      <c r="B29" s="26" t="s">
        <v>273</v>
      </c>
      <c r="C29" s="26"/>
      <c r="D29" s="8"/>
      <c r="E29" s="6" t="s">
        <v>29</v>
      </c>
      <c r="F29" s="2" t="s">
        <v>274</v>
      </c>
      <c r="G29" s="2">
        <f t="shared" si="0"/>
        <v>71</v>
      </c>
      <c r="H29" s="2" t="s">
        <v>275</v>
      </c>
      <c r="I29" s="2">
        <f t="shared" si="1"/>
        <v>28</v>
      </c>
      <c r="J29" s="2" t="s">
        <v>276</v>
      </c>
      <c r="K29" s="2">
        <f t="shared" si="2"/>
        <v>43</v>
      </c>
      <c r="L29" s="2" t="s">
        <v>71</v>
      </c>
      <c r="M29" s="2"/>
      <c r="N29" s="9" t="s">
        <v>277</v>
      </c>
      <c r="O29" s="8">
        <v>743</v>
      </c>
      <c r="P29" s="8" t="s">
        <v>37</v>
      </c>
      <c r="Q29" s="8" t="s">
        <v>38</v>
      </c>
      <c r="R29" s="8" t="s">
        <v>38</v>
      </c>
      <c r="S29" s="2" t="s">
        <v>278</v>
      </c>
      <c r="T29" s="8" t="s">
        <v>279</v>
      </c>
      <c r="U29" s="2">
        <v>11526003</v>
      </c>
      <c r="V29" s="2"/>
      <c r="W29" s="2"/>
      <c r="X29" s="2"/>
      <c r="Y29" s="2" t="s">
        <v>280</v>
      </c>
      <c r="Z29" s="2" t="s">
        <v>42</v>
      </c>
      <c r="AA29" s="2"/>
    </row>
    <row r="30" spans="1:27" x14ac:dyDescent="0.2">
      <c r="A30" s="2" t="s">
        <v>281</v>
      </c>
      <c r="B30" s="26" t="s">
        <v>282</v>
      </c>
      <c r="C30" s="26"/>
      <c r="D30" s="8"/>
      <c r="E30" s="6" t="s">
        <v>29</v>
      </c>
      <c r="F30" s="2" t="s">
        <v>283</v>
      </c>
      <c r="G30" s="2">
        <f t="shared" si="0"/>
        <v>61</v>
      </c>
      <c r="H30" s="2" t="s">
        <v>284</v>
      </c>
      <c r="I30" s="2">
        <f t="shared" si="1"/>
        <v>24</v>
      </c>
      <c r="J30" s="2" t="s">
        <v>285</v>
      </c>
      <c r="K30" s="2">
        <f t="shared" si="2"/>
        <v>37</v>
      </c>
      <c r="L30" s="2" t="s">
        <v>33</v>
      </c>
      <c r="M30" s="2" t="s">
        <v>34</v>
      </c>
      <c r="N30" s="9" t="s">
        <v>286</v>
      </c>
      <c r="O30" s="8" t="s">
        <v>287</v>
      </c>
      <c r="P30" s="8" t="s">
        <v>37</v>
      </c>
      <c r="Q30" s="8" t="s">
        <v>38</v>
      </c>
      <c r="R30" s="8" t="s">
        <v>38</v>
      </c>
      <c r="S30" s="11" t="s">
        <v>102</v>
      </c>
      <c r="T30" s="8" t="s">
        <v>288</v>
      </c>
      <c r="U30" s="2">
        <v>1487737</v>
      </c>
      <c r="V30" s="2" t="s">
        <v>289</v>
      </c>
      <c r="W30" s="2" t="s">
        <v>290</v>
      </c>
      <c r="X30" s="2"/>
      <c r="Y30" s="2" t="s">
        <v>291</v>
      </c>
      <c r="Z30" s="2" t="s">
        <v>42</v>
      </c>
      <c r="AA30" s="2"/>
    </row>
    <row r="31" spans="1:27" x14ac:dyDescent="0.2">
      <c r="A31" s="2" t="s">
        <v>292</v>
      </c>
      <c r="B31" s="26" t="s">
        <v>293</v>
      </c>
      <c r="C31" s="26"/>
      <c r="D31" s="8"/>
      <c r="E31" s="6" t="s">
        <v>29</v>
      </c>
      <c r="F31" s="2" t="s">
        <v>294</v>
      </c>
      <c r="G31" s="2">
        <f t="shared" si="0"/>
        <v>58</v>
      </c>
      <c r="H31" s="2" t="s">
        <v>295</v>
      </c>
      <c r="I31" s="2">
        <f t="shared" si="1"/>
        <v>15</v>
      </c>
      <c r="J31" s="2" t="s">
        <v>213</v>
      </c>
      <c r="K31" s="2">
        <f t="shared" si="2"/>
        <v>43</v>
      </c>
      <c r="L31" s="2" t="s">
        <v>33</v>
      </c>
      <c r="M31" s="2" t="s">
        <v>34</v>
      </c>
      <c r="N31" s="9" t="s">
        <v>214</v>
      </c>
      <c r="O31" s="8" t="s">
        <v>296</v>
      </c>
      <c r="P31" s="8" t="s">
        <v>37</v>
      </c>
      <c r="Q31" s="8" t="s">
        <v>38</v>
      </c>
      <c r="R31" s="8" t="s">
        <v>38</v>
      </c>
      <c r="S31" s="2" t="s">
        <v>297</v>
      </c>
      <c r="T31" s="8" t="s">
        <v>298</v>
      </c>
      <c r="U31" s="2">
        <v>12147478</v>
      </c>
      <c r="V31" s="2"/>
      <c r="W31" s="2"/>
      <c r="X31" s="2"/>
      <c r="Y31" s="2" t="s">
        <v>299</v>
      </c>
      <c r="Z31" s="2" t="s">
        <v>42</v>
      </c>
      <c r="AA31" s="2"/>
    </row>
    <row r="32" spans="1:27" x14ac:dyDescent="0.2">
      <c r="A32" s="2" t="s">
        <v>300</v>
      </c>
      <c r="B32" s="26" t="s">
        <v>301</v>
      </c>
      <c r="C32" s="26"/>
      <c r="D32" s="8"/>
      <c r="E32" s="6" t="s">
        <v>29</v>
      </c>
      <c r="F32" s="2" t="s">
        <v>302</v>
      </c>
      <c r="G32" s="2">
        <f t="shared" si="0"/>
        <v>62</v>
      </c>
      <c r="H32" s="2" t="s">
        <v>303</v>
      </c>
      <c r="I32" s="2">
        <f t="shared" si="1"/>
        <v>18</v>
      </c>
      <c r="J32" s="2" t="s">
        <v>304</v>
      </c>
      <c r="K32" s="2">
        <f t="shared" si="2"/>
        <v>44</v>
      </c>
      <c r="L32" s="2" t="s">
        <v>33</v>
      </c>
      <c r="M32" s="2" t="s">
        <v>34</v>
      </c>
      <c r="N32" s="9" t="s">
        <v>305</v>
      </c>
      <c r="O32" s="8" t="s">
        <v>306</v>
      </c>
      <c r="P32" s="8" t="s">
        <v>37</v>
      </c>
      <c r="Q32" s="8" t="s">
        <v>38</v>
      </c>
      <c r="R32" s="8" t="s">
        <v>38</v>
      </c>
      <c r="S32" s="2" t="s">
        <v>307</v>
      </c>
      <c r="T32" s="8" t="s">
        <v>308</v>
      </c>
      <c r="U32" s="2">
        <v>1514784</v>
      </c>
      <c r="V32" s="2" t="s">
        <v>309</v>
      </c>
      <c r="W32" s="2" t="s">
        <v>310</v>
      </c>
      <c r="X32" s="2"/>
      <c r="Y32" s="2" t="s">
        <v>311</v>
      </c>
      <c r="Z32" s="2" t="s">
        <v>42</v>
      </c>
      <c r="AA32" s="2"/>
    </row>
    <row r="33" spans="1:27" x14ac:dyDescent="0.2">
      <c r="A33" s="2" t="s">
        <v>312</v>
      </c>
      <c r="B33" s="26" t="s">
        <v>313</v>
      </c>
      <c r="C33" s="26"/>
      <c r="D33" s="8" t="s">
        <v>314</v>
      </c>
      <c r="E33" s="6" t="s">
        <v>29</v>
      </c>
      <c r="F33" s="2" t="s">
        <v>315</v>
      </c>
      <c r="G33" s="2">
        <f t="shared" si="0"/>
        <v>62</v>
      </c>
      <c r="H33" s="2" t="s">
        <v>316</v>
      </c>
      <c r="I33" s="2">
        <f t="shared" si="1"/>
        <v>18</v>
      </c>
      <c r="J33" s="2" t="s">
        <v>317</v>
      </c>
      <c r="K33" s="2">
        <f t="shared" si="2"/>
        <v>44</v>
      </c>
      <c r="L33" s="2" t="s">
        <v>33</v>
      </c>
      <c r="M33" s="2" t="s">
        <v>34</v>
      </c>
      <c r="N33" s="9" t="s">
        <v>139</v>
      </c>
      <c r="O33" s="8" t="s">
        <v>318</v>
      </c>
      <c r="P33" s="8" t="s">
        <v>37</v>
      </c>
      <c r="Q33" s="8" t="s">
        <v>38</v>
      </c>
      <c r="R33" s="8" t="s">
        <v>38</v>
      </c>
      <c r="S33" s="2" t="s">
        <v>319</v>
      </c>
      <c r="T33" s="8" t="s">
        <v>320</v>
      </c>
      <c r="U33" s="2">
        <v>8702282</v>
      </c>
      <c r="V33" s="2"/>
      <c r="W33" s="2" t="s">
        <v>321</v>
      </c>
      <c r="X33" s="2"/>
      <c r="Y33" s="2" t="s">
        <v>322</v>
      </c>
      <c r="Z33" s="2" t="s">
        <v>42</v>
      </c>
      <c r="AA33" s="2"/>
    </row>
    <row r="34" spans="1:27" x14ac:dyDescent="0.2">
      <c r="A34" s="2" t="s">
        <v>323</v>
      </c>
      <c r="B34" s="26" t="s">
        <v>324</v>
      </c>
      <c r="C34" s="26"/>
      <c r="D34" s="8"/>
      <c r="E34" s="6" t="s">
        <v>29</v>
      </c>
      <c r="F34" s="2" t="s">
        <v>325</v>
      </c>
      <c r="G34" s="2">
        <f t="shared" si="0"/>
        <v>56</v>
      </c>
      <c r="H34" s="2" t="s">
        <v>326</v>
      </c>
      <c r="I34" s="2">
        <f t="shared" si="1"/>
        <v>19</v>
      </c>
      <c r="J34" s="2" t="s">
        <v>327</v>
      </c>
      <c r="K34" s="2">
        <f t="shared" si="2"/>
        <v>37</v>
      </c>
      <c r="L34" s="2" t="s">
        <v>33</v>
      </c>
      <c r="M34" s="2" t="s">
        <v>34</v>
      </c>
      <c r="N34" s="9" t="s">
        <v>328</v>
      </c>
      <c r="O34" s="8">
        <v>423</v>
      </c>
      <c r="P34" s="8" t="s">
        <v>37</v>
      </c>
      <c r="Q34" s="8" t="s">
        <v>38</v>
      </c>
      <c r="R34" s="8" t="s">
        <v>38</v>
      </c>
      <c r="S34" s="2" t="s">
        <v>329</v>
      </c>
      <c r="T34" s="8" t="s">
        <v>330</v>
      </c>
      <c r="U34" s="2">
        <v>12423916</v>
      </c>
      <c r="V34" s="2"/>
      <c r="W34" s="2" t="s">
        <v>331</v>
      </c>
      <c r="X34" s="2"/>
      <c r="Y34" s="2" t="s">
        <v>332</v>
      </c>
      <c r="Z34" s="2" t="s">
        <v>42</v>
      </c>
      <c r="AA34" s="2"/>
    </row>
    <row r="35" spans="1:27" x14ac:dyDescent="0.2">
      <c r="A35" s="2" t="s">
        <v>333</v>
      </c>
      <c r="B35" s="26" t="s">
        <v>175</v>
      </c>
      <c r="C35" s="26"/>
      <c r="D35" s="8" t="s">
        <v>174</v>
      </c>
      <c r="E35" s="6" t="s">
        <v>29</v>
      </c>
      <c r="F35" s="2" t="s">
        <v>176</v>
      </c>
      <c r="G35" s="2">
        <f t="shared" si="0"/>
        <v>59</v>
      </c>
      <c r="H35" s="2" t="s">
        <v>177</v>
      </c>
      <c r="I35" s="2">
        <f t="shared" si="1"/>
        <v>18</v>
      </c>
      <c r="J35" s="2" t="s">
        <v>178</v>
      </c>
      <c r="K35" s="2">
        <f t="shared" si="2"/>
        <v>41</v>
      </c>
      <c r="L35" s="2" t="s">
        <v>33</v>
      </c>
      <c r="M35" s="2" t="s">
        <v>34</v>
      </c>
      <c r="N35" s="9" t="s">
        <v>334</v>
      </c>
      <c r="O35" s="8">
        <v>706</v>
      </c>
      <c r="P35" s="8" t="s">
        <v>37</v>
      </c>
      <c r="Q35" s="8" t="s">
        <v>38</v>
      </c>
      <c r="R35" s="8" t="s">
        <v>38</v>
      </c>
      <c r="S35" s="11" t="s">
        <v>102</v>
      </c>
      <c r="T35" s="8" t="s">
        <v>335</v>
      </c>
      <c r="U35" s="2">
        <v>1487735</v>
      </c>
      <c r="V35" s="2"/>
      <c r="W35" s="2" t="s">
        <v>336</v>
      </c>
      <c r="X35" s="2"/>
      <c r="Y35" s="2" t="s">
        <v>337</v>
      </c>
      <c r="Z35" s="2" t="s">
        <v>42</v>
      </c>
      <c r="AA35" s="2"/>
    </row>
    <row r="36" spans="1:27" x14ac:dyDescent="0.2">
      <c r="A36" s="2" t="s">
        <v>338</v>
      </c>
      <c r="B36" s="26" t="s">
        <v>339</v>
      </c>
      <c r="C36" s="26"/>
      <c r="D36" s="8"/>
      <c r="E36" s="6" t="s">
        <v>29</v>
      </c>
      <c r="F36" s="2" t="s">
        <v>340</v>
      </c>
      <c r="G36" s="2">
        <f t="shared" si="0"/>
        <v>61</v>
      </c>
      <c r="H36" s="2" t="s">
        <v>341</v>
      </c>
      <c r="I36" s="2">
        <f t="shared" si="1"/>
        <v>18</v>
      </c>
      <c r="J36" s="2" t="s">
        <v>342</v>
      </c>
      <c r="K36" s="2">
        <f t="shared" si="2"/>
        <v>43</v>
      </c>
      <c r="L36" s="2" t="s">
        <v>33</v>
      </c>
      <c r="M36" s="2" t="s">
        <v>34</v>
      </c>
      <c r="N36" s="9" t="s">
        <v>334</v>
      </c>
      <c r="O36" s="8" t="s">
        <v>343</v>
      </c>
      <c r="P36" s="8" t="s">
        <v>37</v>
      </c>
      <c r="Q36" s="8" t="s">
        <v>38</v>
      </c>
      <c r="R36" s="8" t="s">
        <v>38</v>
      </c>
      <c r="S36" s="2" t="s">
        <v>344</v>
      </c>
      <c r="T36" s="8" t="s">
        <v>345</v>
      </c>
      <c r="U36" s="2">
        <v>8180701</v>
      </c>
      <c r="V36" s="2" t="s">
        <v>309</v>
      </c>
      <c r="W36" s="2" t="s">
        <v>346</v>
      </c>
      <c r="X36" s="2"/>
      <c r="Y36" s="2" t="s">
        <v>347</v>
      </c>
      <c r="Z36" s="2" t="s">
        <v>42</v>
      </c>
      <c r="AA36" s="2"/>
    </row>
    <row r="37" spans="1:27" x14ac:dyDescent="0.2">
      <c r="A37" s="2" t="s">
        <v>348</v>
      </c>
      <c r="B37" s="26" t="s">
        <v>349</v>
      </c>
      <c r="C37" s="26"/>
      <c r="D37" s="8"/>
      <c r="E37" s="6" t="s">
        <v>29</v>
      </c>
      <c r="F37" s="2" t="s">
        <v>350</v>
      </c>
      <c r="G37" s="2">
        <f t="shared" si="0"/>
        <v>56</v>
      </c>
      <c r="H37" s="2" t="s">
        <v>351</v>
      </c>
      <c r="I37" s="2">
        <f t="shared" si="1"/>
        <v>18</v>
      </c>
      <c r="J37" s="2" t="s">
        <v>352</v>
      </c>
      <c r="K37" s="2">
        <f t="shared" si="2"/>
        <v>38</v>
      </c>
      <c r="L37" s="2" t="s">
        <v>33</v>
      </c>
      <c r="M37" s="2" t="s">
        <v>34</v>
      </c>
      <c r="N37" s="9" t="s">
        <v>334</v>
      </c>
      <c r="O37" s="8">
        <v>2512</v>
      </c>
      <c r="P37" s="8" t="s">
        <v>37</v>
      </c>
      <c r="Q37" s="8" t="s">
        <v>38</v>
      </c>
      <c r="R37" s="8" t="s">
        <v>38</v>
      </c>
      <c r="S37" s="2" t="s">
        <v>353</v>
      </c>
      <c r="T37" s="8" t="s">
        <v>354</v>
      </c>
      <c r="U37" s="2">
        <v>12450870</v>
      </c>
      <c r="V37" s="2"/>
      <c r="W37" s="2"/>
      <c r="X37" s="2"/>
      <c r="Y37" s="2" t="s">
        <v>355</v>
      </c>
      <c r="Z37" s="2" t="s">
        <v>42</v>
      </c>
      <c r="AA37" s="2"/>
    </row>
    <row r="38" spans="1:27" x14ac:dyDescent="0.2">
      <c r="A38" s="2" t="s">
        <v>356</v>
      </c>
      <c r="B38" s="26" t="s">
        <v>357</v>
      </c>
      <c r="C38" s="26"/>
      <c r="D38" s="8"/>
      <c r="E38" s="6" t="s">
        <v>29</v>
      </c>
      <c r="F38" s="8" t="s">
        <v>358</v>
      </c>
      <c r="G38" s="2">
        <f t="shared" si="0"/>
        <v>63</v>
      </c>
      <c r="H38" s="2" t="s">
        <v>359</v>
      </c>
      <c r="I38" s="2">
        <f t="shared" si="1"/>
        <v>18</v>
      </c>
      <c r="J38" s="2" t="s">
        <v>360</v>
      </c>
      <c r="K38" s="2">
        <f t="shared" si="2"/>
        <v>45</v>
      </c>
      <c r="L38" s="2" t="s">
        <v>33</v>
      </c>
      <c r="M38" s="2" t="s">
        <v>34</v>
      </c>
      <c r="N38" s="9" t="s">
        <v>334</v>
      </c>
      <c r="O38" s="8" t="s">
        <v>361</v>
      </c>
      <c r="P38" s="8" t="s">
        <v>37</v>
      </c>
      <c r="Q38" s="8" t="s">
        <v>38</v>
      </c>
      <c r="R38" s="8" t="s">
        <v>38</v>
      </c>
      <c r="S38" s="2" t="s">
        <v>362</v>
      </c>
      <c r="T38" s="2" t="s">
        <v>363</v>
      </c>
      <c r="U38" s="2">
        <v>23594273</v>
      </c>
      <c r="V38" s="2"/>
      <c r="W38" s="2"/>
      <c r="X38" s="2"/>
      <c r="Y38" s="2" t="s">
        <v>364</v>
      </c>
      <c r="Z38" s="2" t="s">
        <v>42</v>
      </c>
      <c r="AA38" s="2"/>
    </row>
    <row r="39" spans="1:27" x14ac:dyDescent="0.2">
      <c r="A39" s="2" t="s">
        <v>365</v>
      </c>
      <c r="B39" s="26" t="s">
        <v>56</v>
      </c>
      <c r="C39" s="26"/>
      <c r="D39" s="8" t="s">
        <v>55</v>
      </c>
      <c r="E39" s="6" t="s">
        <v>29</v>
      </c>
      <c r="F39" s="8" t="s">
        <v>366</v>
      </c>
      <c r="G39" s="2">
        <f t="shared" si="0"/>
        <v>61</v>
      </c>
      <c r="H39" s="2" t="s">
        <v>58</v>
      </c>
      <c r="I39" s="2">
        <f>LEN(H39)</f>
        <v>18</v>
      </c>
      <c r="J39" s="2" t="s">
        <v>59</v>
      </c>
      <c r="K39" s="2">
        <f>LEN(J39)</f>
        <v>43</v>
      </c>
      <c r="L39" s="2" t="s">
        <v>33</v>
      </c>
      <c r="M39" s="2" t="s">
        <v>34</v>
      </c>
      <c r="N39" s="9" t="s">
        <v>120</v>
      </c>
      <c r="O39" s="8" t="s">
        <v>367</v>
      </c>
      <c r="P39" s="8" t="s">
        <v>37</v>
      </c>
      <c r="Q39" s="8" t="s">
        <v>38</v>
      </c>
      <c r="R39" s="8" t="s">
        <v>38</v>
      </c>
      <c r="S39" s="11" t="s">
        <v>102</v>
      </c>
      <c r="T39" s="8" t="s">
        <v>368</v>
      </c>
      <c r="U39" s="2">
        <v>28952066</v>
      </c>
      <c r="V39" s="2"/>
      <c r="W39" s="2"/>
      <c r="X39" s="2"/>
      <c r="Y39" s="2" t="s">
        <v>369</v>
      </c>
      <c r="Z39" s="2" t="s">
        <v>42</v>
      </c>
      <c r="AA39" s="2"/>
    </row>
    <row r="40" spans="1:27" x14ac:dyDescent="0.2">
      <c r="A40" s="2" t="s">
        <v>370</v>
      </c>
      <c r="B40" s="24" t="s">
        <v>371</v>
      </c>
      <c r="C40" s="24"/>
      <c r="D40" s="2"/>
      <c r="E40" s="15" t="s">
        <v>29</v>
      </c>
      <c r="F40" s="8" t="s">
        <v>372</v>
      </c>
      <c r="G40" s="2">
        <f t="shared" si="0"/>
        <v>61</v>
      </c>
      <c r="H40" s="2" t="s">
        <v>373</v>
      </c>
      <c r="I40" s="2">
        <f>LEN(H40)</f>
        <v>18</v>
      </c>
      <c r="J40" s="2" t="s">
        <v>374</v>
      </c>
      <c r="K40" s="2">
        <f>LEN(J40)</f>
        <v>43</v>
      </c>
      <c r="L40" s="2" t="s">
        <v>33</v>
      </c>
      <c r="M40" s="2" t="s">
        <v>34</v>
      </c>
      <c r="N40" s="9" t="s">
        <v>334</v>
      </c>
      <c r="O40" s="8">
        <v>5</v>
      </c>
      <c r="P40" s="8" t="s">
        <v>37</v>
      </c>
      <c r="Q40" s="8" t="s">
        <v>38</v>
      </c>
      <c r="R40" s="8" t="s">
        <v>38</v>
      </c>
      <c r="S40" s="2" t="s">
        <v>375</v>
      </c>
      <c r="T40" s="2" t="s">
        <v>376</v>
      </c>
      <c r="U40" s="2">
        <v>14660366</v>
      </c>
      <c r="V40" s="2"/>
      <c r="W40" s="2"/>
      <c r="X40" s="2"/>
      <c r="Y40" s="2" t="s">
        <v>377</v>
      </c>
      <c r="Z40" s="2" t="s">
        <v>42</v>
      </c>
      <c r="AA40" s="2"/>
    </row>
    <row r="41" spans="1:27" x14ac:dyDescent="0.2">
      <c r="A41" s="2" t="s">
        <v>378</v>
      </c>
      <c r="B41" s="24" t="s">
        <v>379</v>
      </c>
      <c r="C41" s="24"/>
      <c r="D41" s="2"/>
      <c r="E41" s="15" t="s">
        <v>29</v>
      </c>
      <c r="F41" s="8" t="s">
        <v>380</v>
      </c>
      <c r="G41" s="8">
        <f t="shared" si="0"/>
        <v>65</v>
      </c>
      <c r="H41" s="2" t="s">
        <v>381</v>
      </c>
      <c r="I41" s="2">
        <f>LEN(H41)</f>
        <v>18</v>
      </c>
      <c r="J41" s="2" t="s">
        <v>200</v>
      </c>
      <c r="K41" s="2">
        <f>LEN(J41)</f>
        <v>47</v>
      </c>
      <c r="L41" s="2" t="s">
        <v>33</v>
      </c>
      <c r="M41" s="2" t="s">
        <v>34</v>
      </c>
      <c r="N41" s="9" t="s">
        <v>83</v>
      </c>
      <c r="O41" s="8" t="s">
        <v>382</v>
      </c>
      <c r="P41" s="8" t="s">
        <v>37</v>
      </c>
      <c r="Q41" s="8" t="s">
        <v>38</v>
      </c>
      <c r="R41" s="8" t="s">
        <v>38</v>
      </c>
      <c r="S41" s="2" t="s">
        <v>383</v>
      </c>
      <c r="T41" s="2" t="s">
        <v>384</v>
      </c>
      <c r="U41" s="2">
        <v>11572452</v>
      </c>
      <c r="V41" s="2"/>
      <c r="W41" s="2"/>
      <c r="X41" s="2"/>
      <c r="Y41" s="2" t="s">
        <v>385</v>
      </c>
      <c r="Z41" s="2" t="s">
        <v>42</v>
      </c>
      <c r="AA41" s="2"/>
    </row>
    <row r="42" spans="1:27" x14ac:dyDescent="0.2">
      <c r="A42" s="2" t="s">
        <v>386</v>
      </c>
      <c r="B42" s="24" t="s">
        <v>387</v>
      </c>
      <c r="C42" s="24"/>
      <c r="D42" s="2"/>
      <c r="E42" s="15" t="s">
        <v>29</v>
      </c>
      <c r="F42" s="8" t="s">
        <v>388</v>
      </c>
      <c r="G42" s="2">
        <f t="shared" si="0"/>
        <v>60</v>
      </c>
      <c r="H42" s="2" t="s">
        <v>389</v>
      </c>
      <c r="I42" s="2">
        <f>LEN(H42)</f>
        <v>18</v>
      </c>
      <c r="J42" s="2" t="s">
        <v>390</v>
      </c>
      <c r="K42" s="2">
        <f>LEN(J42)</f>
        <v>42</v>
      </c>
      <c r="L42" s="2" t="s">
        <v>33</v>
      </c>
      <c r="M42" s="2" t="s">
        <v>34</v>
      </c>
      <c r="N42" s="9" t="s">
        <v>391</v>
      </c>
      <c r="O42" s="8" t="s">
        <v>392</v>
      </c>
      <c r="P42" s="8" t="s">
        <v>37</v>
      </c>
      <c r="Q42" s="8" t="s">
        <v>38</v>
      </c>
      <c r="R42" s="8" t="s">
        <v>38</v>
      </c>
      <c r="S42" s="11" t="s">
        <v>102</v>
      </c>
      <c r="T42" s="2" t="s">
        <v>393</v>
      </c>
      <c r="U42" s="2">
        <v>16735728</v>
      </c>
      <c r="V42" s="2"/>
      <c r="W42" s="2"/>
      <c r="X42" s="2"/>
      <c r="Y42" s="2" t="s">
        <v>394</v>
      </c>
      <c r="Z42" s="2" t="s">
        <v>42</v>
      </c>
      <c r="AA42" s="2"/>
    </row>
    <row r="43" spans="1:27" x14ac:dyDescent="0.2">
      <c r="A43" s="2" t="s">
        <v>395</v>
      </c>
      <c r="B43" s="26" t="s">
        <v>396</v>
      </c>
      <c r="C43" s="26"/>
      <c r="D43" s="8"/>
      <c r="E43" s="6" t="s">
        <v>29</v>
      </c>
      <c r="F43" s="16" t="s">
        <v>397</v>
      </c>
      <c r="G43" s="2">
        <f t="shared" si="0"/>
        <v>62</v>
      </c>
      <c r="H43" s="2" t="s">
        <v>398</v>
      </c>
      <c r="I43" s="2">
        <f t="shared" si="1"/>
        <v>18</v>
      </c>
      <c r="J43" s="2" t="s">
        <v>399</v>
      </c>
      <c r="K43" s="2">
        <f t="shared" si="2"/>
        <v>44</v>
      </c>
      <c r="L43" s="2" t="s">
        <v>33</v>
      </c>
      <c r="M43" s="2" t="s">
        <v>34</v>
      </c>
      <c r="N43" s="9" t="s">
        <v>400</v>
      </c>
      <c r="O43" s="8" t="s">
        <v>401</v>
      </c>
      <c r="P43" s="8" t="s">
        <v>37</v>
      </c>
      <c r="Q43" s="8" t="s">
        <v>38</v>
      </c>
      <c r="R43" s="8" t="s">
        <v>38</v>
      </c>
      <c r="S43" s="11" t="s">
        <v>102</v>
      </c>
      <c r="T43" s="2" t="s">
        <v>402</v>
      </c>
      <c r="U43" s="2">
        <v>27489131</v>
      </c>
      <c r="V43" s="2"/>
      <c r="W43" s="2"/>
      <c r="X43" s="2" t="s">
        <v>403</v>
      </c>
      <c r="Y43" s="2" t="s">
        <v>404</v>
      </c>
      <c r="Z43" s="2" t="s">
        <v>42</v>
      </c>
      <c r="AA43" s="2" t="s">
        <v>405</v>
      </c>
    </row>
    <row r="44" spans="1:27" x14ac:dyDescent="0.2">
      <c r="A44" s="2" t="s">
        <v>406</v>
      </c>
      <c r="B44" s="26" t="s">
        <v>407</v>
      </c>
      <c r="C44" s="26"/>
      <c r="D44" s="8"/>
      <c r="E44" s="6" t="s">
        <v>29</v>
      </c>
      <c r="F44" s="8" t="s">
        <v>408</v>
      </c>
      <c r="G44" s="2">
        <f t="shared" si="0"/>
        <v>63</v>
      </c>
      <c r="H44" s="2" t="s">
        <v>326</v>
      </c>
      <c r="I44" s="2">
        <f t="shared" si="1"/>
        <v>19</v>
      </c>
      <c r="J44" s="2" t="s">
        <v>409</v>
      </c>
      <c r="K44" s="2">
        <f t="shared" si="2"/>
        <v>44</v>
      </c>
      <c r="L44" s="2" t="s">
        <v>33</v>
      </c>
      <c r="M44" s="2" t="s">
        <v>34</v>
      </c>
      <c r="N44" s="9" t="s">
        <v>169</v>
      </c>
      <c r="O44" s="8" t="s">
        <v>170</v>
      </c>
      <c r="P44" s="8" t="s">
        <v>37</v>
      </c>
      <c r="Q44" s="8" t="s">
        <v>38</v>
      </c>
      <c r="R44" s="8" t="s">
        <v>38</v>
      </c>
      <c r="S44" s="11" t="s">
        <v>102</v>
      </c>
      <c r="T44" s="8" t="s">
        <v>171</v>
      </c>
      <c r="U44" s="2">
        <v>11097892</v>
      </c>
      <c r="V44" s="2"/>
      <c r="W44" s="2"/>
      <c r="X44" s="2" t="s">
        <v>410</v>
      </c>
      <c r="Y44" s="2" t="s">
        <v>172</v>
      </c>
      <c r="Z44" s="2" t="s">
        <v>42</v>
      </c>
      <c r="AA44" s="2" t="s">
        <v>405</v>
      </c>
    </row>
    <row r="45" spans="1:27" x14ac:dyDescent="0.2">
      <c r="A45" s="2" t="s">
        <v>411</v>
      </c>
      <c r="B45" s="26" t="s">
        <v>412</v>
      </c>
      <c r="C45" s="26"/>
      <c r="D45" s="8"/>
      <c r="E45" s="6" t="s">
        <v>413</v>
      </c>
      <c r="F45" s="2" t="s">
        <v>414</v>
      </c>
      <c r="G45" s="2">
        <f t="shared" si="0"/>
        <v>67</v>
      </c>
      <c r="H45" s="2" t="s">
        <v>415</v>
      </c>
      <c r="I45" s="2">
        <f t="shared" si="1"/>
        <v>24</v>
      </c>
      <c r="J45" s="2" t="s">
        <v>416</v>
      </c>
      <c r="K45" s="2">
        <f t="shared" si="2"/>
        <v>43</v>
      </c>
      <c r="L45" s="2" t="s">
        <v>33</v>
      </c>
      <c r="M45" s="2" t="s">
        <v>34</v>
      </c>
      <c r="N45" s="9" t="s">
        <v>286</v>
      </c>
      <c r="O45" s="8" t="s">
        <v>417</v>
      </c>
      <c r="P45" s="8" t="s">
        <v>37</v>
      </c>
      <c r="Q45" s="8" t="s">
        <v>38</v>
      </c>
      <c r="R45" s="8" t="s">
        <v>38</v>
      </c>
      <c r="S45" s="2" t="s">
        <v>418</v>
      </c>
      <c r="T45" s="8" t="s">
        <v>419</v>
      </c>
      <c r="U45" s="2">
        <v>12127968</v>
      </c>
      <c r="V45" s="2"/>
      <c r="W45" s="2" t="s">
        <v>420</v>
      </c>
      <c r="X45" s="2" t="s">
        <v>421</v>
      </c>
      <c r="Y45" s="2" t="s">
        <v>422</v>
      </c>
      <c r="Z45" s="2" t="s">
        <v>42</v>
      </c>
      <c r="AA45" s="2" t="s">
        <v>405</v>
      </c>
    </row>
    <row r="46" spans="1:27" x14ac:dyDescent="0.2">
      <c r="A46" s="2" t="s">
        <v>423</v>
      </c>
      <c r="B46" s="26" t="s">
        <v>314</v>
      </c>
      <c r="C46" s="26"/>
      <c r="D46" s="8" t="s">
        <v>313</v>
      </c>
      <c r="E46" s="6" t="s">
        <v>29</v>
      </c>
      <c r="F46" s="8" t="s">
        <v>315</v>
      </c>
      <c r="G46" s="2">
        <f t="shared" si="0"/>
        <v>62</v>
      </c>
      <c r="H46" s="2" t="s">
        <v>316</v>
      </c>
      <c r="I46" s="2">
        <f t="shared" si="1"/>
        <v>18</v>
      </c>
      <c r="J46" s="2" t="s">
        <v>317</v>
      </c>
      <c r="K46" s="2">
        <f t="shared" si="2"/>
        <v>44</v>
      </c>
      <c r="L46" s="2" t="s">
        <v>33</v>
      </c>
      <c r="M46" s="2" t="s">
        <v>34</v>
      </c>
      <c r="N46" s="9" t="s">
        <v>139</v>
      </c>
      <c r="O46" s="8" t="s">
        <v>424</v>
      </c>
      <c r="P46" s="8" t="s">
        <v>37</v>
      </c>
      <c r="Q46" s="8" t="s">
        <v>38</v>
      </c>
      <c r="R46" s="8" t="s">
        <v>38</v>
      </c>
      <c r="S46" s="11" t="s">
        <v>102</v>
      </c>
      <c r="T46" s="8" t="s">
        <v>425</v>
      </c>
      <c r="U46" s="2">
        <v>8953713</v>
      </c>
      <c r="V46" s="2"/>
      <c r="W46" s="2"/>
      <c r="X46" s="2" t="s">
        <v>426</v>
      </c>
      <c r="Y46" s="2" t="s">
        <v>427</v>
      </c>
      <c r="Z46" s="2" t="s">
        <v>42</v>
      </c>
      <c r="AA46" s="2" t="s">
        <v>405</v>
      </c>
    </row>
    <row r="47" spans="1:27" x14ac:dyDescent="0.2">
      <c r="A47" s="2" t="s">
        <v>428</v>
      </c>
      <c r="B47" s="26" t="s">
        <v>135</v>
      </c>
      <c r="C47" s="26"/>
      <c r="D47" s="8" t="s">
        <v>134</v>
      </c>
      <c r="E47" s="6" t="s">
        <v>29</v>
      </c>
      <c r="F47" s="8" t="s">
        <v>136</v>
      </c>
      <c r="G47" s="2">
        <f t="shared" si="0"/>
        <v>61</v>
      </c>
      <c r="H47" s="2" t="s">
        <v>137</v>
      </c>
      <c r="I47" s="2">
        <f t="shared" si="1"/>
        <v>18</v>
      </c>
      <c r="J47" s="2" t="s">
        <v>138</v>
      </c>
      <c r="K47" s="2">
        <f t="shared" si="2"/>
        <v>43</v>
      </c>
      <c r="L47" s="2" t="s">
        <v>33</v>
      </c>
      <c r="M47" s="2" t="s">
        <v>34</v>
      </c>
      <c r="N47" s="9" t="s">
        <v>139</v>
      </c>
      <c r="O47" s="8" t="s">
        <v>424</v>
      </c>
      <c r="P47" s="8" t="s">
        <v>37</v>
      </c>
      <c r="Q47" s="8" t="s">
        <v>38</v>
      </c>
      <c r="R47" s="8" t="s">
        <v>38</v>
      </c>
      <c r="S47" s="11" t="s">
        <v>102</v>
      </c>
      <c r="T47" s="8" t="s">
        <v>425</v>
      </c>
      <c r="U47" s="2">
        <v>8953713</v>
      </c>
      <c r="V47" s="2"/>
      <c r="W47" s="2"/>
      <c r="X47" s="2" t="s">
        <v>429</v>
      </c>
      <c r="Y47" s="2" t="s">
        <v>427</v>
      </c>
      <c r="Z47" s="2" t="s">
        <v>42</v>
      </c>
      <c r="AA47" s="2" t="s">
        <v>405</v>
      </c>
    </row>
    <row r="48" spans="1:27" x14ac:dyDescent="0.2">
      <c r="A48" s="2" t="s">
        <v>430</v>
      </c>
      <c r="B48" s="26" t="s">
        <v>431</v>
      </c>
      <c r="C48" s="26"/>
      <c r="D48" s="8"/>
      <c r="E48" s="6" t="s">
        <v>29</v>
      </c>
      <c r="F48" s="8" t="s">
        <v>432</v>
      </c>
      <c r="G48" s="2">
        <f t="shared" si="0"/>
        <v>59</v>
      </c>
      <c r="H48" s="2" t="s">
        <v>303</v>
      </c>
      <c r="I48" s="2">
        <f t="shared" si="1"/>
        <v>18</v>
      </c>
      <c r="J48" s="2" t="s">
        <v>433</v>
      </c>
      <c r="K48" s="2">
        <f t="shared" si="2"/>
        <v>41</v>
      </c>
      <c r="L48" s="2" t="s">
        <v>33</v>
      </c>
      <c r="M48" s="2" t="s">
        <v>34</v>
      </c>
      <c r="N48" s="9" t="s">
        <v>328</v>
      </c>
      <c r="O48" s="8" t="s">
        <v>434</v>
      </c>
      <c r="P48" s="8" t="s">
        <v>37</v>
      </c>
      <c r="Q48" s="8" t="s">
        <v>38</v>
      </c>
      <c r="R48" s="8" t="s">
        <v>38</v>
      </c>
      <c r="S48" s="2" t="s">
        <v>435</v>
      </c>
      <c r="T48" s="8" t="s">
        <v>436</v>
      </c>
      <c r="U48" s="2">
        <v>30323792</v>
      </c>
      <c r="V48" s="2"/>
      <c r="W48" s="2"/>
      <c r="X48" s="2" t="s">
        <v>437</v>
      </c>
      <c r="Y48" s="2" t="s">
        <v>438</v>
      </c>
      <c r="Z48" s="2" t="s">
        <v>42</v>
      </c>
      <c r="AA48" s="2"/>
    </row>
    <row r="49" spans="1:27" x14ac:dyDescent="0.2">
      <c r="A49" s="2" t="s">
        <v>439</v>
      </c>
      <c r="B49" s="26" t="s">
        <v>440</v>
      </c>
      <c r="C49" s="26"/>
      <c r="D49" s="8"/>
      <c r="E49" s="6" t="s">
        <v>29</v>
      </c>
      <c r="F49" s="2" t="s">
        <v>441</v>
      </c>
      <c r="G49" s="2">
        <f>LEN(J49)</f>
        <v>42</v>
      </c>
      <c r="H49" s="2" t="s">
        <v>442</v>
      </c>
      <c r="I49" s="2">
        <f t="shared" si="1"/>
        <v>12</v>
      </c>
      <c r="J49" s="2" t="s">
        <v>443</v>
      </c>
      <c r="K49" s="2">
        <f t="shared" si="2"/>
        <v>42</v>
      </c>
      <c r="L49" s="2" t="s">
        <v>71</v>
      </c>
      <c r="M49" s="2"/>
      <c r="N49" s="9" t="s">
        <v>120</v>
      </c>
      <c r="O49" s="8" t="s">
        <v>444</v>
      </c>
      <c r="P49" s="8" t="s">
        <v>37</v>
      </c>
      <c r="Q49" s="8" t="s">
        <v>38</v>
      </c>
      <c r="R49" s="8" t="s">
        <v>38</v>
      </c>
      <c r="S49" s="11" t="s">
        <v>102</v>
      </c>
      <c r="T49" s="8" t="s">
        <v>445</v>
      </c>
      <c r="U49" s="2">
        <v>31456764</v>
      </c>
      <c r="V49" s="2"/>
      <c r="W49" s="2"/>
      <c r="X49" s="2" t="s">
        <v>446</v>
      </c>
      <c r="Y49" s="2" t="s">
        <v>447</v>
      </c>
      <c r="Z49" s="2" t="s">
        <v>42</v>
      </c>
      <c r="AA49" s="2"/>
    </row>
    <row r="50" spans="1:27" x14ac:dyDescent="0.2">
      <c r="A50" s="2" t="s">
        <v>448</v>
      </c>
      <c r="B50" s="26" t="s">
        <v>449</v>
      </c>
      <c r="C50" s="26"/>
      <c r="D50" s="8"/>
      <c r="E50" s="6" t="s">
        <v>29</v>
      </c>
      <c r="F50" s="2" t="s">
        <v>285</v>
      </c>
      <c r="G50" s="2">
        <f t="shared" ref="G50:G113" si="3">LEN(F50)</f>
        <v>37</v>
      </c>
      <c r="H50" s="2"/>
      <c r="I50" s="2">
        <f t="shared" si="1"/>
        <v>0</v>
      </c>
      <c r="J50" s="2" t="s">
        <v>285</v>
      </c>
      <c r="K50" s="2">
        <f t="shared" si="2"/>
        <v>37</v>
      </c>
      <c r="L50" s="2" t="s">
        <v>450</v>
      </c>
      <c r="M50" s="2"/>
      <c r="N50" s="9" t="s">
        <v>286</v>
      </c>
      <c r="O50" s="8" t="s">
        <v>451</v>
      </c>
      <c r="P50" s="8" t="s">
        <v>37</v>
      </c>
      <c r="Q50" s="8" t="s">
        <v>452</v>
      </c>
      <c r="R50" s="8" t="s">
        <v>38</v>
      </c>
      <c r="S50" s="11" t="s">
        <v>102</v>
      </c>
      <c r="T50" s="8" t="s">
        <v>453</v>
      </c>
      <c r="U50" s="2">
        <v>8987453</v>
      </c>
      <c r="V50" s="2"/>
      <c r="W50" s="2"/>
      <c r="X50" s="2"/>
      <c r="Y50" s="2" t="s">
        <v>454</v>
      </c>
      <c r="Z50" s="2" t="s">
        <v>42</v>
      </c>
      <c r="AA50" s="2" t="s">
        <v>455</v>
      </c>
    </row>
    <row r="51" spans="1:27" x14ac:dyDescent="0.2">
      <c r="A51" s="2" t="s">
        <v>456</v>
      </c>
      <c r="B51" s="26" t="s">
        <v>457</v>
      </c>
      <c r="C51" s="26"/>
      <c r="D51" s="8"/>
      <c r="E51" s="6" t="s">
        <v>29</v>
      </c>
      <c r="F51" s="2" t="s">
        <v>458</v>
      </c>
      <c r="G51" s="2">
        <f t="shared" si="3"/>
        <v>44</v>
      </c>
      <c r="H51" s="2"/>
      <c r="I51" s="2">
        <f t="shared" si="1"/>
        <v>0</v>
      </c>
      <c r="J51" s="2" t="s">
        <v>458</v>
      </c>
      <c r="K51" s="2">
        <f t="shared" si="2"/>
        <v>44</v>
      </c>
      <c r="L51" s="2" t="s">
        <v>450</v>
      </c>
      <c r="M51" s="2"/>
      <c r="N51" s="9" t="s">
        <v>83</v>
      </c>
      <c r="O51" s="8" t="s">
        <v>459</v>
      </c>
      <c r="P51" s="8" t="s">
        <v>37</v>
      </c>
      <c r="Q51" s="8" t="s">
        <v>452</v>
      </c>
      <c r="R51" s="8" t="s">
        <v>38</v>
      </c>
      <c r="S51" s="2" t="s">
        <v>460</v>
      </c>
      <c r="T51" s="8" t="s">
        <v>461</v>
      </c>
      <c r="U51" s="2">
        <v>15836487</v>
      </c>
      <c r="V51" s="2"/>
      <c r="W51" s="2"/>
      <c r="X51" s="2"/>
      <c r="Y51" s="2" t="s">
        <v>462</v>
      </c>
      <c r="Z51" s="2" t="s">
        <v>42</v>
      </c>
      <c r="AA51" s="2" t="s">
        <v>463</v>
      </c>
    </row>
    <row r="52" spans="1:27" x14ac:dyDescent="0.2">
      <c r="A52" s="2" t="s">
        <v>464</v>
      </c>
      <c r="B52" s="26" t="s">
        <v>465</v>
      </c>
      <c r="C52" s="26"/>
      <c r="D52" s="8"/>
      <c r="E52" s="6" t="s">
        <v>29</v>
      </c>
      <c r="F52" s="8" t="s">
        <v>466</v>
      </c>
      <c r="G52" s="2">
        <f t="shared" si="3"/>
        <v>43</v>
      </c>
      <c r="H52" s="2"/>
      <c r="I52" s="2">
        <f t="shared" si="1"/>
        <v>0</v>
      </c>
      <c r="J52" s="2" t="s">
        <v>466</v>
      </c>
      <c r="K52" s="2">
        <f t="shared" si="2"/>
        <v>43</v>
      </c>
      <c r="L52" s="2" t="s">
        <v>450</v>
      </c>
      <c r="M52" s="2"/>
      <c r="N52" s="9" t="s">
        <v>467</v>
      </c>
      <c r="O52" s="8" t="s">
        <v>468</v>
      </c>
      <c r="P52" s="8" t="s">
        <v>37</v>
      </c>
      <c r="Q52" s="8" t="s">
        <v>452</v>
      </c>
      <c r="R52" s="8" t="s">
        <v>38</v>
      </c>
      <c r="S52" s="11" t="s">
        <v>102</v>
      </c>
      <c r="T52" s="2" t="s">
        <v>469</v>
      </c>
      <c r="U52" s="2">
        <v>21511463</v>
      </c>
      <c r="V52" s="2"/>
      <c r="W52" s="2" t="s">
        <v>470</v>
      </c>
      <c r="X52" s="2"/>
      <c r="Y52" s="2" t="s">
        <v>471</v>
      </c>
      <c r="Z52" s="2" t="s">
        <v>42</v>
      </c>
      <c r="AA52" s="2" t="s">
        <v>472</v>
      </c>
    </row>
    <row r="53" spans="1:27" x14ac:dyDescent="0.2">
      <c r="A53" s="2" t="s">
        <v>473</v>
      </c>
      <c r="B53" s="26" t="s">
        <v>474</v>
      </c>
      <c r="C53" s="26"/>
      <c r="D53" s="8"/>
      <c r="E53" s="6" t="s">
        <v>29</v>
      </c>
      <c r="F53" s="8" t="s">
        <v>475</v>
      </c>
      <c r="G53" s="2">
        <f t="shared" si="3"/>
        <v>53</v>
      </c>
      <c r="H53" s="2"/>
      <c r="I53" s="2">
        <f t="shared" si="1"/>
        <v>0</v>
      </c>
      <c r="J53" s="2" t="s">
        <v>475</v>
      </c>
      <c r="K53" s="2">
        <f t="shared" si="2"/>
        <v>53</v>
      </c>
      <c r="L53" s="2" t="s">
        <v>450</v>
      </c>
      <c r="M53" s="2"/>
      <c r="N53" s="9" t="s">
        <v>476</v>
      </c>
      <c r="O53" s="8" t="s">
        <v>477</v>
      </c>
      <c r="P53" s="8" t="s">
        <v>37</v>
      </c>
      <c r="Q53" s="8" t="s">
        <v>452</v>
      </c>
      <c r="R53" s="8" t="s">
        <v>38</v>
      </c>
      <c r="S53" s="11" t="s">
        <v>102</v>
      </c>
      <c r="T53" s="2" t="s">
        <v>478</v>
      </c>
      <c r="U53" s="2">
        <v>16940109</v>
      </c>
      <c r="V53" s="2"/>
      <c r="W53" s="2"/>
      <c r="X53" s="2"/>
      <c r="Y53" s="2" t="s">
        <v>479</v>
      </c>
      <c r="Z53" s="2" t="s">
        <v>42</v>
      </c>
      <c r="AA53" s="2" t="s">
        <v>472</v>
      </c>
    </row>
    <row r="54" spans="1:27" x14ac:dyDescent="0.2">
      <c r="A54" s="2" t="s">
        <v>480</v>
      </c>
      <c r="B54" s="26" t="s">
        <v>481</v>
      </c>
      <c r="C54" s="26"/>
      <c r="D54" s="8"/>
      <c r="E54" s="6" t="s">
        <v>29</v>
      </c>
      <c r="F54" s="8" t="s">
        <v>482</v>
      </c>
      <c r="G54" s="2">
        <f t="shared" si="3"/>
        <v>37</v>
      </c>
      <c r="H54" s="2"/>
      <c r="I54" s="2">
        <f t="shared" si="1"/>
        <v>0</v>
      </c>
      <c r="J54" s="2" t="s">
        <v>482</v>
      </c>
      <c r="K54" s="2">
        <f t="shared" si="2"/>
        <v>37</v>
      </c>
      <c r="L54" s="2" t="s">
        <v>450</v>
      </c>
      <c r="M54" s="2"/>
      <c r="N54" s="9" t="s">
        <v>476</v>
      </c>
      <c r="O54" s="8">
        <v>1077</v>
      </c>
      <c r="P54" s="8" t="s">
        <v>37</v>
      </c>
      <c r="Q54" s="8" t="s">
        <v>452</v>
      </c>
      <c r="R54" s="8" t="s">
        <v>38</v>
      </c>
      <c r="S54" s="11" t="s">
        <v>102</v>
      </c>
      <c r="T54" s="8" t="s">
        <v>483</v>
      </c>
      <c r="U54" s="2">
        <v>21378051</v>
      </c>
      <c r="V54" s="2"/>
      <c r="W54" s="2"/>
      <c r="X54" s="2"/>
      <c r="Y54" s="2" t="s">
        <v>484</v>
      </c>
      <c r="Z54" s="2" t="s">
        <v>42</v>
      </c>
      <c r="AA54" s="2" t="s">
        <v>472</v>
      </c>
    </row>
    <row r="55" spans="1:27" x14ac:dyDescent="0.2">
      <c r="A55" s="2" t="s">
        <v>485</v>
      </c>
      <c r="B55" s="26" t="s">
        <v>486</v>
      </c>
      <c r="C55" s="26"/>
      <c r="D55" s="8"/>
      <c r="E55" s="6" t="s">
        <v>29</v>
      </c>
      <c r="F55" s="8" t="s">
        <v>487</v>
      </c>
      <c r="G55" s="2">
        <f t="shared" si="3"/>
        <v>42</v>
      </c>
      <c r="H55" s="2"/>
      <c r="I55" s="2">
        <f t="shared" si="1"/>
        <v>0</v>
      </c>
      <c r="J55" s="2" t="s">
        <v>487</v>
      </c>
      <c r="K55" s="2">
        <f t="shared" si="2"/>
        <v>42</v>
      </c>
      <c r="L55" s="2" t="s">
        <v>450</v>
      </c>
      <c r="M55" s="2"/>
      <c r="N55" s="9" t="s">
        <v>488</v>
      </c>
      <c r="O55" s="8" t="s">
        <v>489</v>
      </c>
      <c r="P55" s="8" t="s">
        <v>37</v>
      </c>
      <c r="Q55" s="8" t="s">
        <v>452</v>
      </c>
      <c r="R55" s="8" t="s">
        <v>38</v>
      </c>
      <c r="S55" s="2" t="s">
        <v>490</v>
      </c>
      <c r="T55" s="8" t="s">
        <v>491</v>
      </c>
      <c r="U55" s="2">
        <v>8953724</v>
      </c>
      <c r="V55" s="2"/>
      <c r="W55" s="2" t="s">
        <v>492</v>
      </c>
      <c r="X55" s="2"/>
      <c r="Y55" s="2" t="s">
        <v>493</v>
      </c>
      <c r="Z55" s="2" t="s">
        <v>42</v>
      </c>
      <c r="AA55" s="2" t="s">
        <v>472</v>
      </c>
    </row>
    <row r="56" spans="1:27" x14ac:dyDescent="0.2">
      <c r="A56" s="2" t="s">
        <v>494</v>
      </c>
      <c r="B56" s="26" t="s">
        <v>495</v>
      </c>
      <c r="C56" s="26"/>
      <c r="D56" s="8"/>
      <c r="E56" s="6" t="s">
        <v>29</v>
      </c>
      <c r="F56" s="8" t="s">
        <v>496</v>
      </c>
      <c r="G56" s="2">
        <f t="shared" si="3"/>
        <v>41</v>
      </c>
      <c r="H56" s="2"/>
      <c r="I56" s="2">
        <f t="shared" si="1"/>
        <v>0</v>
      </c>
      <c r="J56" s="2" t="s">
        <v>496</v>
      </c>
      <c r="K56" s="2">
        <f t="shared" si="2"/>
        <v>41</v>
      </c>
      <c r="L56" s="2" t="s">
        <v>450</v>
      </c>
      <c r="M56" s="2"/>
      <c r="N56" s="9" t="s">
        <v>334</v>
      </c>
      <c r="O56" s="8" t="s">
        <v>497</v>
      </c>
      <c r="P56" s="8" t="s">
        <v>37</v>
      </c>
      <c r="Q56" s="8" t="s">
        <v>452</v>
      </c>
      <c r="R56" s="8" t="s">
        <v>38</v>
      </c>
      <c r="S56" s="11" t="s">
        <v>102</v>
      </c>
      <c r="T56" s="8" t="s">
        <v>498</v>
      </c>
      <c r="U56" s="2">
        <v>8407671</v>
      </c>
      <c r="V56" s="2"/>
      <c r="W56" s="2" t="s">
        <v>499</v>
      </c>
      <c r="X56" s="2"/>
      <c r="Y56" s="2" t="s">
        <v>500</v>
      </c>
      <c r="Z56" s="2" t="s">
        <v>42</v>
      </c>
      <c r="AA56" s="2" t="s">
        <v>472</v>
      </c>
    </row>
    <row r="57" spans="1:27" x14ac:dyDescent="0.2">
      <c r="A57" s="2" t="s">
        <v>501</v>
      </c>
      <c r="B57" s="26" t="s">
        <v>502</v>
      </c>
      <c r="C57" s="26"/>
      <c r="D57" s="8"/>
      <c r="E57" s="6" t="s">
        <v>29</v>
      </c>
      <c r="F57" s="8" t="s">
        <v>503</v>
      </c>
      <c r="G57" s="2">
        <f t="shared" si="3"/>
        <v>36</v>
      </c>
      <c r="H57" s="2"/>
      <c r="I57" s="2">
        <f t="shared" si="1"/>
        <v>0</v>
      </c>
      <c r="J57" s="2" t="s">
        <v>503</v>
      </c>
      <c r="K57" s="2">
        <f t="shared" si="2"/>
        <v>36</v>
      </c>
      <c r="L57" s="2" t="s">
        <v>450</v>
      </c>
      <c r="M57" s="2"/>
      <c r="N57" s="9" t="s">
        <v>504</v>
      </c>
      <c r="O57" s="8" t="s">
        <v>505</v>
      </c>
      <c r="P57" s="8" t="s">
        <v>37</v>
      </c>
      <c r="Q57" s="8" t="s">
        <v>452</v>
      </c>
      <c r="R57" s="8" t="s">
        <v>38</v>
      </c>
      <c r="S57" s="11" t="s">
        <v>102</v>
      </c>
      <c r="T57" s="8" t="s">
        <v>506</v>
      </c>
      <c r="U57" s="2">
        <v>10030011</v>
      </c>
      <c r="V57" s="2"/>
      <c r="W57" s="2"/>
      <c r="X57" s="2"/>
      <c r="Y57" s="2" t="s">
        <v>507</v>
      </c>
      <c r="Z57" s="2" t="s">
        <v>42</v>
      </c>
      <c r="AA57" s="2" t="s">
        <v>472</v>
      </c>
    </row>
    <row r="58" spans="1:27" x14ac:dyDescent="0.2">
      <c r="A58" s="2" t="s">
        <v>508</v>
      </c>
      <c r="B58" s="26" t="s">
        <v>509</v>
      </c>
      <c r="C58" s="26"/>
      <c r="D58" s="8"/>
      <c r="E58" s="6" t="s">
        <v>29</v>
      </c>
      <c r="F58" s="8" t="s">
        <v>510</v>
      </c>
      <c r="G58" s="2">
        <f t="shared" si="3"/>
        <v>37</v>
      </c>
      <c r="H58" s="2"/>
      <c r="I58" s="2">
        <f t="shared" si="1"/>
        <v>0</v>
      </c>
      <c r="J58" s="2" t="s">
        <v>510</v>
      </c>
      <c r="K58" s="2">
        <f t="shared" si="2"/>
        <v>37</v>
      </c>
      <c r="L58" s="2" t="s">
        <v>450</v>
      </c>
      <c r="M58" s="2"/>
      <c r="N58" s="9" t="s">
        <v>511</v>
      </c>
      <c r="O58" s="8" t="s">
        <v>512</v>
      </c>
      <c r="P58" s="8" t="s">
        <v>37</v>
      </c>
      <c r="Q58" s="8" t="s">
        <v>452</v>
      </c>
      <c r="R58" s="8" t="s">
        <v>38</v>
      </c>
      <c r="S58" s="2" t="s">
        <v>513</v>
      </c>
      <c r="T58" s="8" t="s">
        <v>514</v>
      </c>
      <c r="U58" s="2">
        <v>11728715</v>
      </c>
      <c r="V58" s="2" t="s">
        <v>515</v>
      </c>
      <c r="W58" s="2" t="s">
        <v>513</v>
      </c>
      <c r="X58" s="2"/>
      <c r="Y58" s="2" t="s">
        <v>516</v>
      </c>
      <c r="Z58" s="2" t="s">
        <v>42</v>
      </c>
      <c r="AA58" s="2" t="s">
        <v>472</v>
      </c>
    </row>
    <row r="59" spans="1:27" x14ac:dyDescent="0.2">
      <c r="A59" s="2" t="s">
        <v>517</v>
      </c>
      <c r="B59" s="26" t="s">
        <v>518</v>
      </c>
      <c r="C59" s="26"/>
      <c r="D59" s="8"/>
      <c r="E59" s="6" t="s">
        <v>29</v>
      </c>
      <c r="F59" s="8" t="s">
        <v>519</v>
      </c>
      <c r="G59" s="2">
        <f t="shared" si="3"/>
        <v>34</v>
      </c>
      <c r="H59" s="2"/>
      <c r="I59" s="2">
        <f t="shared" si="1"/>
        <v>0</v>
      </c>
      <c r="J59" s="2" t="s">
        <v>519</v>
      </c>
      <c r="K59" s="2">
        <f t="shared" si="2"/>
        <v>34</v>
      </c>
      <c r="L59" s="2" t="s">
        <v>450</v>
      </c>
      <c r="M59" s="2"/>
      <c r="N59" s="9" t="s">
        <v>520</v>
      </c>
      <c r="O59" s="8" t="s">
        <v>521</v>
      </c>
      <c r="P59" s="8" t="s">
        <v>37</v>
      </c>
      <c r="Q59" s="8" t="s">
        <v>452</v>
      </c>
      <c r="R59" s="8" t="s">
        <v>38</v>
      </c>
      <c r="S59" s="11" t="s">
        <v>102</v>
      </c>
      <c r="T59" s="8" t="s">
        <v>522</v>
      </c>
      <c r="U59" s="2">
        <v>35667456</v>
      </c>
      <c r="V59" s="2"/>
      <c r="W59" s="2"/>
      <c r="X59" s="2"/>
      <c r="Y59" s="2" t="s">
        <v>523</v>
      </c>
      <c r="Z59" s="2" t="s">
        <v>42</v>
      </c>
      <c r="AA59" s="2" t="s">
        <v>472</v>
      </c>
    </row>
    <row r="60" spans="1:27" x14ac:dyDescent="0.2">
      <c r="A60" s="2" t="s">
        <v>524</v>
      </c>
      <c r="B60" s="26" t="s">
        <v>525</v>
      </c>
      <c r="C60" s="26"/>
      <c r="D60" s="8"/>
      <c r="E60" s="6" t="s">
        <v>29</v>
      </c>
      <c r="F60" s="8" t="s">
        <v>526</v>
      </c>
      <c r="G60" s="2">
        <f t="shared" si="3"/>
        <v>43</v>
      </c>
      <c r="H60" s="2"/>
      <c r="I60" s="2">
        <f t="shared" si="1"/>
        <v>0</v>
      </c>
      <c r="J60" s="2" t="s">
        <v>526</v>
      </c>
      <c r="K60" s="2">
        <f t="shared" si="2"/>
        <v>43</v>
      </c>
      <c r="L60" s="2" t="s">
        <v>450</v>
      </c>
      <c r="M60" s="2"/>
      <c r="N60" s="9" t="s">
        <v>214</v>
      </c>
      <c r="O60" s="8" t="s">
        <v>527</v>
      </c>
      <c r="P60" s="8" t="s">
        <v>37</v>
      </c>
      <c r="Q60" s="8" t="s">
        <v>452</v>
      </c>
      <c r="R60" s="8" t="s">
        <v>38</v>
      </c>
      <c r="S60" s="2" t="s">
        <v>528</v>
      </c>
      <c r="T60" s="8" t="s">
        <v>529</v>
      </c>
      <c r="U60" s="2">
        <v>9733915</v>
      </c>
      <c r="V60" s="2"/>
      <c r="W60" s="2" t="s">
        <v>528</v>
      </c>
      <c r="X60" s="2"/>
      <c r="Y60" s="2" t="s">
        <v>530</v>
      </c>
      <c r="Z60" s="2" t="s">
        <v>42</v>
      </c>
      <c r="AA60" s="2" t="s">
        <v>472</v>
      </c>
    </row>
    <row r="61" spans="1:27" x14ac:dyDescent="0.2">
      <c r="A61" s="2" t="s">
        <v>531</v>
      </c>
      <c r="B61" s="26" t="s">
        <v>532</v>
      </c>
      <c r="C61" s="26"/>
      <c r="D61" s="8"/>
      <c r="E61" s="6" t="s">
        <v>29</v>
      </c>
      <c r="F61" s="8" t="s">
        <v>533</v>
      </c>
      <c r="G61" s="2">
        <f t="shared" si="3"/>
        <v>36</v>
      </c>
      <c r="H61" s="2"/>
      <c r="I61" s="2">
        <f t="shared" si="1"/>
        <v>0</v>
      </c>
      <c r="J61" s="2" t="s">
        <v>533</v>
      </c>
      <c r="K61" s="2">
        <f t="shared" si="2"/>
        <v>36</v>
      </c>
      <c r="L61" s="2" t="s">
        <v>450</v>
      </c>
      <c r="M61" s="2"/>
      <c r="N61" s="9" t="s">
        <v>328</v>
      </c>
      <c r="O61" s="8" t="s">
        <v>534</v>
      </c>
      <c r="P61" s="8" t="s">
        <v>37</v>
      </c>
      <c r="Q61" s="8" t="s">
        <v>452</v>
      </c>
      <c r="R61" s="8" t="s">
        <v>38</v>
      </c>
      <c r="S61" s="11" t="s">
        <v>102</v>
      </c>
      <c r="T61" s="8" t="s">
        <v>535</v>
      </c>
      <c r="U61" s="2">
        <v>11545225</v>
      </c>
      <c r="V61" s="2"/>
      <c r="W61" s="2"/>
      <c r="X61" s="2"/>
      <c r="Y61" s="2" t="s">
        <v>536</v>
      </c>
      <c r="Z61" s="2" t="s">
        <v>42</v>
      </c>
      <c r="AA61" s="2" t="s">
        <v>472</v>
      </c>
    </row>
    <row r="62" spans="1:27" x14ac:dyDescent="0.2">
      <c r="A62" s="2" t="s">
        <v>537</v>
      </c>
      <c r="B62" s="26" t="s">
        <v>538</v>
      </c>
      <c r="C62" s="26"/>
      <c r="D62" s="8"/>
      <c r="E62" s="6" t="s">
        <v>29</v>
      </c>
      <c r="F62" s="8" t="s">
        <v>539</v>
      </c>
      <c r="G62" s="2">
        <f t="shared" si="3"/>
        <v>57</v>
      </c>
      <c r="H62" s="2"/>
      <c r="I62" s="2">
        <f t="shared" si="1"/>
        <v>0</v>
      </c>
      <c r="J62" s="2" t="s">
        <v>539</v>
      </c>
      <c r="K62" s="2">
        <f t="shared" si="2"/>
        <v>57</v>
      </c>
      <c r="L62" s="2" t="s">
        <v>450</v>
      </c>
      <c r="M62" s="2"/>
      <c r="N62" s="9" t="s">
        <v>120</v>
      </c>
      <c r="O62" s="8" t="s">
        <v>540</v>
      </c>
      <c r="P62" s="8" t="s">
        <v>37</v>
      </c>
      <c r="Q62" s="8" t="s">
        <v>452</v>
      </c>
      <c r="R62" s="8" t="s">
        <v>38</v>
      </c>
      <c r="S62" s="11" t="s">
        <v>102</v>
      </c>
      <c r="T62" s="8" t="s">
        <v>541</v>
      </c>
      <c r="U62" s="2">
        <v>26875092</v>
      </c>
      <c r="V62" s="2"/>
      <c r="W62" s="2"/>
      <c r="X62" s="2"/>
      <c r="Y62" s="2" t="s">
        <v>542</v>
      </c>
      <c r="Z62" s="2" t="s">
        <v>42</v>
      </c>
      <c r="AA62" s="2" t="s">
        <v>472</v>
      </c>
    </row>
    <row r="63" spans="1:27" x14ac:dyDescent="0.2">
      <c r="A63" s="2" t="s">
        <v>543</v>
      </c>
      <c r="B63" s="24" t="s">
        <v>544</v>
      </c>
      <c r="C63" s="24"/>
      <c r="D63" s="2"/>
      <c r="E63" s="15" t="s">
        <v>29</v>
      </c>
      <c r="F63" s="8" t="s">
        <v>545</v>
      </c>
      <c r="G63" s="2">
        <f t="shared" si="3"/>
        <v>38</v>
      </c>
      <c r="H63" s="8"/>
      <c r="I63" s="2">
        <f t="shared" si="1"/>
        <v>0</v>
      </c>
      <c r="J63" s="2" t="s">
        <v>545</v>
      </c>
      <c r="K63" s="2">
        <f t="shared" si="2"/>
        <v>38</v>
      </c>
      <c r="L63" s="2" t="s">
        <v>450</v>
      </c>
      <c r="M63" s="2"/>
      <c r="N63" s="9" t="s">
        <v>83</v>
      </c>
      <c r="O63" s="8" t="s">
        <v>546</v>
      </c>
      <c r="P63" s="8" t="s">
        <v>37</v>
      </c>
      <c r="Q63" s="8" t="s">
        <v>452</v>
      </c>
      <c r="R63" s="8" t="s">
        <v>38</v>
      </c>
      <c r="S63" s="11" t="s">
        <v>102</v>
      </c>
      <c r="T63" s="2" t="s">
        <v>547</v>
      </c>
      <c r="U63" s="2">
        <v>17551760</v>
      </c>
      <c r="V63" s="2"/>
      <c r="W63" s="2"/>
      <c r="X63" s="2"/>
      <c r="Y63" s="2" t="s">
        <v>548</v>
      </c>
      <c r="Z63" s="2" t="s">
        <v>42</v>
      </c>
      <c r="AA63" s="2" t="s">
        <v>549</v>
      </c>
    </row>
    <row r="64" spans="1:27" x14ac:dyDescent="0.2">
      <c r="A64" s="2" t="s">
        <v>550</v>
      </c>
      <c r="B64" s="24" t="s">
        <v>551</v>
      </c>
      <c r="C64" s="24"/>
      <c r="D64" s="2"/>
      <c r="E64" s="15" t="s">
        <v>29</v>
      </c>
      <c r="F64" s="8" t="s">
        <v>552</v>
      </c>
      <c r="G64" s="8">
        <f t="shared" si="3"/>
        <v>54</v>
      </c>
      <c r="H64" s="8"/>
      <c r="I64" s="2">
        <f t="shared" si="1"/>
        <v>0</v>
      </c>
      <c r="J64" s="2" t="s">
        <v>552</v>
      </c>
      <c r="K64" s="2">
        <f t="shared" si="2"/>
        <v>54</v>
      </c>
      <c r="L64" s="2" t="s">
        <v>450</v>
      </c>
      <c r="M64" s="2"/>
      <c r="N64" s="9" t="s">
        <v>476</v>
      </c>
      <c r="O64" s="8" t="s">
        <v>477</v>
      </c>
      <c r="P64" s="8" t="s">
        <v>37</v>
      </c>
      <c r="Q64" s="8" t="s">
        <v>452</v>
      </c>
      <c r="R64" s="8" t="s">
        <v>38</v>
      </c>
      <c r="S64" s="11" t="s">
        <v>102</v>
      </c>
      <c r="T64" s="2" t="s">
        <v>478</v>
      </c>
      <c r="U64" s="2">
        <v>16940109</v>
      </c>
      <c r="V64" s="2"/>
      <c r="W64" s="2"/>
      <c r="X64" s="2"/>
      <c r="Y64" s="2" t="s">
        <v>479</v>
      </c>
      <c r="Z64" s="2" t="s">
        <v>42</v>
      </c>
      <c r="AA64" s="2" t="s">
        <v>463</v>
      </c>
    </row>
    <row r="65" spans="1:27" x14ac:dyDescent="0.2">
      <c r="A65" s="2" t="s">
        <v>553</v>
      </c>
      <c r="B65" s="24" t="s">
        <v>495</v>
      </c>
      <c r="C65" s="24"/>
      <c r="D65" s="2"/>
      <c r="E65" s="15" t="s">
        <v>29</v>
      </c>
      <c r="F65" s="8" t="s">
        <v>554</v>
      </c>
      <c r="G65" s="8">
        <f t="shared" si="3"/>
        <v>41</v>
      </c>
      <c r="H65" s="8"/>
      <c r="I65" s="2">
        <f t="shared" si="1"/>
        <v>0</v>
      </c>
      <c r="J65" s="2" t="s">
        <v>554</v>
      </c>
      <c r="K65" s="2">
        <f t="shared" si="2"/>
        <v>41</v>
      </c>
      <c r="L65" s="2" t="s">
        <v>450</v>
      </c>
      <c r="M65" s="2"/>
      <c r="N65" s="9" t="s">
        <v>488</v>
      </c>
      <c r="O65" s="8" t="s">
        <v>497</v>
      </c>
      <c r="P65" s="8" t="s">
        <v>37</v>
      </c>
      <c r="Q65" s="8" t="s">
        <v>452</v>
      </c>
      <c r="R65" s="8" t="s">
        <v>38</v>
      </c>
      <c r="S65" s="11" t="s">
        <v>102</v>
      </c>
      <c r="T65" s="2" t="s">
        <v>498</v>
      </c>
      <c r="U65" s="2">
        <v>8407671</v>
      </c>
      <c r="V65" s="2"/>
      <c r="W65" s="2" t="s">
        <v>499</v>
      </c>
      <c r="X65" s="2"/>
      <c r="Y65" s="2" t="s">
        <v>500</v>
      </c>
      <c r="Z65" s="2" t="s">
        <v>42</v>
      </c>
      <c r="AA65" s="2" t="s">
        <v>555</v>
      </c>
    </row>
    <row r="66" spans="1:27" x14ac:dyDescent="0.2">
      <c r="A66" s="2" t="s">
        <v>556</v>
      </c>
      <c r="B66" s="24" t="s">
        <v>557</v>
      </c>
      <c r="C66" s="24"/>
      <c r="D66" s="2"/>
      <c r="E66" s="15" t="s">
        <v>29</v>
      </c>
      <c r="F66" s="8" t="s">
        <v>558</v>
      </c>
      <c r="G66" s="8">
        <f t="shared" si="3"/>
        <v>25</v>
      </c>
      <c r="H66" s="8"/>
      <c r="I66" s="2">
        <f t="shared" si="1"/>
        <v>0</v>
      </c>
      <c r="J66" s="2" t="s">
        <v>558</v>
      </c>
      <c r="K66" s="2">
        <f t="shared" si="2"/>
        <v>25</v>
      </c>
      <c r="L66" s="2" t="s">
        <v>450</v>
      </c>
      <c r="M66" s="2"/>
      <c r="N66" s="9" t="s">
        <v>559</v>
      </c>
      <c r="O66" s="8">
        <v>59.1</v>
      </c>
      <c r="P66" s="8" t="s">
        <v>37</v>
      </c>
      <c r="Q66" s="8" t="s">
        <v>452</v>
      </c>
      <c r="R66" s="8" t="s">
        <v>38</v>
      </c>
      <c r="S66" s="11" t="s">
        <v>102</v>
      </c>
      <c r="T66" s="2" t="s">
        <v>560</v>
      </c>
      <c r="U66" s="2">
        <v>21477375</v>
      </c>
      <c r="V66" s="2"/>
      <c r="W66" s="2" t="s">
        <v>561</v>
      </c>
      <c r="X66" s="2"/>
      <c r="Y66" s="2" t="s">
        <v>562</v>
      </c>
      <c r="Z66" s="2" t="s">
        <v>42</v>
      </c>
      <c r="AA66" s="2" t="s">
        <v>555</v>
      </c>
    </row>
    <row r="67" spans="1:27" x14ac:dyDescent="0.2">
      <c r="A67" s="2" t="s">
        <v>563</v>
      </c>
      <c r="B67" s="24" t="s">
        <v>564</v>
      </c>
      <c r="C67" s="24"/>
      <c r="D67" s="2"/>
      <c r="E67" s="15" t="s">
        <v>29</v>
      </c>
      <c r="F67" s="8" t="s">
        <v>565</v>
      </c>
      <c r="G67" s="8">
        <f t="shared" si="3"/>
        <v>46</v>
      </c>
      <c r="H67" s="8"/>
      <c r="I67" s="2">
        <f t="shared" si="1"/>
        <v>0</v>
      </c>
      <c r="J67" s="2" t="s">
        <v>565</v>
      </c>
      <c r="K67" s="2">
        <f t="shared" si="2"/>
        <v>46</v>
      </c>
      <c r="L67" s="2" t="s">
        <v>450</v>
      </c>
      <c r="M67" s="2"/>
      <c r="N67" s="9" t="s">
        <v>566</v>
      </c>
      <c r="O67" s="8" t="s">
        <v>567</v>
      </c>
      <c r="P67" s="8" t="s">
        <v>37</v>
      </c>
      <c r="Q67" s="8" t="s">
        <v>452</v>
      </c>
      <c r="R67" s="8" t="s">
        <v>38</v>
      </c>
      <c r="S67" s="11" t="s">
        <v>102</v>
      </c>
      <c r="T67" s="2" t="s">
        <v>568</v>
      </c>
      <c r="U67" s="11" t="s">
        <v>102</v>
      </c>
      <c r="V67" s="2"/>
      <c r="W67" s="2"/>
      <c r="X67" s="2"/>
      <c r="Y67" s="2" t="s">
        <v>569</v>
      </c>
      <c r="Z67" s="2" t="s">
        <v>42</v>
      </c>
      <c r="AA67" s="2" t="s">
        <v>463</v>
      </c>
    </row>
    <row r="68" spans="1:27" x14ac:dyDescent="0.2">
      <c r="A68" s="2" t="s">
        <v>570</v>
      </c>
      <c r="B68" s="24" t="s">
        <v>571</v>
      </c>
      <c r="C68" s="24"/>
      <c r="D68" s="2"/>
      <c r="E68" s="15" t="s">
        <v>29</v>
      </c>
      <c r="F68" s="8" t="s">
        <v>572</v>
      </c>
      <c r="G68" s="8">
        <f t="shared" si="3"/>
        <v>41</v>
      </c>
      <c r="H68" s="8"/>
      <c r="I68" s="2">
        <f t="shared" si="1"/>
        <v>0</v>
      </c>
      <c r="J68" s="2" t="s">
        <v>572</v>
      </c>
      <c r="K68" s="2">
        <f t="shared" si="2"/>
        <v>41</v>
      </c>
      <c r="L68" s="2" t="s">
        <v>450</v>
      </c>
      <c r="M68" s="2"/>
      <c r="N68" s="9" t="s">
        <v>573</v>
      </c>
      <c r="O68" s="8"/>
      <c r="P68" s="8" t="s">
        <v>37</v>
      </c>
      <c r="Q68" s="8" t="s">
        <v>452</v>
      </c>
      <c r="R68" s="8" t="s">
        <v>38</v>
      </c>
      <c r="S68" s="11" t="s">
        <v>102</v>
      </c>
      <c r="T68" s="11" t="s">
        <v>102</v>
      </c>
      <c r="U68" s="11" t="s">
        <v>102</v>
      </c>
      <c r="V68" s="2"/>
      <c r="W68" s="2" t="s">
        <v>574</v>
      </c>
      <c r="X68" s="2"/>
      <c r="Y68" s="2" t="s">
        <v>575</v>
      </c>
      <c r="Z68" s="2" t="s">
        <v>42</v>
      </c>
      <c r="AA68" s="2"/>
    </row>
    <row r="69" spans="1:27" x14ac:dyDescent="0.2">
      <c r="A69" s="2" t="s">
        <v>576</v>
      </c>
      <c r="B69" s="24" t="s">
        <v>577</v>
      </c>
      <c r="C69" s="24"/>
      <c r="D69" s="2"/>
      <c r="E69" s="15" t="s">
        <v>29</v>
      </c>
      <c r="F69" s="8" t="s">
        <v>578</v>
      </c>
      <c r="G69" s="2">
        <f t="shared" si="3"/>
        <v>39</v>
      </c>
      <c r="H69" s="8"/>
      <c r="I69" s="2">
        <f t="shared" si="1"/>
        <v>0</v>
      </c>
      <c r="J69" s="2" t="s">
        <v>578</v>
      </c>
      <c r="K69" s="2">
        <f t="shared" si="2"/>
        <v>39</v>
      </c>
      <c r="L69" s="2" t="s">
        <v>450</v>
      </c>
      <c r="M69" s="2"/>
      <c r="N69" s="9" t="s">
        <v>579</v>
      </c>
      <c r="O69" s="8" t="s">
        <v>580</v>
      </c>
      <c r="P69" s="8" t="s">
        <v>37</v>
      </c>
      <c r="Q69" s="8" t="s">
        <v>452</v>
      </c>
      <c r="R69" s="8" t="s">
        <v>38</v>
      </c>
      <c r="S69" s="11" t="s">
        <v>102</v>
      </c>
      <c r="T69" s="2" t="s">
        <v>581</v>
      </c>
      <c r="U69" s="2">
        <v>26783168</v>
      </c>
      <c r="V69" s="2"/>
      <c r="W69" s="2" t="s">
        <v>582</v>
      </c>
      <c r="X69" s="2"/>
      <c r="Y69" s="2" t="s">
        <v>583</v>
      </c>
      <c r="Z69" s="2" t="s">
        <v>42</v>
      </c>
      <c r="AA69" s="2" t="s">
        <v>549</v>
      </c>
    </row>
    <row r="70" spans="1:27" x14ac:dyDescent="0.2">
      <c r="A70" s="2" t="s">
        <v>584</v>
      </c>
      <c r="B70" s="24" t="s">
        <v>585</v>
      </c>
      <c r="C70" s="24"/>
      <c r="D70" s="2"/>
      <c r="E70" s="15" t="s">
        <v>29</v>
      </c>
      <c r="F70" s="8" t="s">
        <v>586</v>
      </c>
      <c r="G70" s="2">
        <f t="shared" si="3"/>
        <v>39</v>
      </c>
      <c r="H70" s="8"/>
      <c r="I70" s="2">
        <f t="shared" si="1"/>
        <v>0</v>
      </c>
      <c r="J70" s="2" t="s">
        <v>586</v>
      </c>
      <c r="K70" s="2">
        <f t="shared" si="2"/>
        <v>39</v>
      </c>
      <c r="L70" s="2" t="s">
        <v>450</v>
      </c>
      <c r="M70" s="2"/>
      <c r="N70" s="9" t="s">
        <v>587</v>
      </c>
      <c r="O70" s="8" t="s">
        <v>588</v>
      </c>
      <c r="P70" s="8" t="s">
        <v>37</v>
      </c>
      <c r="Q70" s="8" t="s">
        <v>452</v>
      </c>
      <c r="R70" s="8" t="s">
        <v>38</v>
      </c>
      <c r="S70" s="11" t="s">
        <v>102</v>
      </c>
      <c r="T70" s="2" t="s">
        <v>589</v>
      </c>
      <c r="U70" s="2">
        <v>15690798</v>
      </c>
      <c r="V70" s="2"/>
      <c r="W70" s="2"/>
      <c r="X70" s="2"/>
      <c r="Y70" s="2" t="s">
        <v>590</v>
      </c>
      <c r="Z70" s="2" t="s">
        <v>42</v>
      </c>
      <c r="AA70" s="2" t="s">
        <v>549</v>
      </c>
    </row>
    <row r="71" spans="1:27" x14ac:dyDescent="0.2">
      <c r="A71" s="2" t="s">
        <v>591</v>
      </c>
      <c r="B71" s="24" t="s">
        <v>592</v>
      </c>
      <c r="C71" s="24"/>
      <c r="D71" s="2"/>
      <c r="E71" s="15" t="s">
        <v>29</v>
      </c>
      <c r="F71" s="8" t="s">
        <v>593</v>
      </c>
      <c r="G71" s="2">
        <f t="shared" si="3"/>
        <v>35</v>
      </c>
      <c r="H71" s="8"/>
      <c r="I71" s="2">
        <f t="shared" si="1"/>
        <v>0</v>
      </c>
      <c r="J71" s="2" t="s">
        <v>593</v>
      </c>
      <c r="K71" s="2">
        <f t="shared" si="2"/>
        <v>35</v>
      </c>
      <c r="L71" s="2" t="s">
        <v>450</v>
      </c>
      <c r="M71" s="2"/>
      <c r="N71" s="9" t="s">
        <v>594</v>
      </c>
      <c r="O71" s="8" t="s">
        <v>595</v>
      </c>
      <c r="P71" s="8" t="s">
        <v>37</v>
      </c>
      <c r="Q71" s="8" t="s">
        <v>452</v>
      </c>
      <c r="R71" s="8" t="s">
        <v>38</v>
      </c>
      <c r="S71" s="11" t="s">
        <v>102</v>
      </c>
      <c r="T71" s="2" t="s">
        <v>589</v>
      </c>
      <c r="U71" s="2">
        <v>15690798</v>
      </c>
      <c r="V71" s="2" t="s">
        <v>596</v>
      </c>
      <c r="W71" s="2" t="s">
        <v>597</v>
      </c>
      <c r="X71" s="2"/>
      <c r="Y71" s="2" t="s">
        <v>590</v>
      </c>
      <c r="Z71" s="2" t="s">
        <v>42</v>
      </c>
      <c r="AA71" s="2" t="s">
        <v>549</v>
      </c>
    </row>
    <row r="72" spans="1:27" x14ac:dyDescent="0.2">
      <c r="A72" s="2" t="s">
        <v>598</v>
      </c>
      <c r="B72" s="24" t="s">
        <v>599</v>
      </c>
      <c r="C72" s="24"/>
      <c r="D72" s="2"/>
      <c r="E72" s="15" t="s">
        <v>29</v>
      </c>
      <c r="F72" s="8" t="s">
        <v>600</v>
      </c>
      <c r="G72" s="2">
        <f t="shared" si="3"/>
        <v>30</v>
      </c>
      <c r="H72" s="8"/>
      <c r="I72" s="2">
        <f t="shared" si="1"/>
        <v>0</v>
      </c>
      <c r="J72" s="2" t="s">
        <v>600</v>
      </c>
      <c r="K72" s="2">
        <f t="shared" si="2"/>
        <v>30</v>
      </c>
      <c r="L72" s="2" t="s">
        <v>450</v>
      </c>
      <c r="M72" s="2"/>
      <c r="N72" s="9" t="s">
        <v>587</v>
      </c>
      <c r="O72" s="8" t="s">
        <v>601</v>
      </c>
      <c r="P72" s="8" t="s">
        <v>37</v>
      </c>
      <c r="Q72" s="8" t="s">
        <v>452</v>
      </c>
      <c r="R72" s="8" t="s">
        <v>38</v>
      </c>
      <c r="S72" s="11" t="s">
        <v>102</v>
      </c>
      <c r="T72" s="2" t="s">
        <v>589</v>
      </c>
      <c r="U72" s="2">
        <v>15690798</v>
      </c>
      <c r="V72" s="2"/>
      <c r="W72" s="2"/>
      <c r="X72" s="2"/>
      <c r="Y72" s="2" t="s">
        <v>590</v>
      </c>
      <c r="Z72" s="2" t="s">
        <v>42</v>
      </c>
      <c r="AA72" s="2" t="s">
        <v>549</v>
      </c>
    </row>
    <row r="73" spans="1:27" x14ac:dyDescent="0.2">
      <c r="A73" s="2" t="s">
        <v>602</v>
      </c>
      <c r="B73" s="24" t="s">
        <v>603</v>
      </c>
      <c r="C73" s="24"/>
      <c r="D73" s="2"/>
      <c r="E73" s="15" t="s">
        <v>29</v>
      </c>
      <c r="F73" s="8" t="s">
        <v>604</v>
      </c>
      <c r="G73" s="2">
        <f t="shared" si="3"/>
        <v>47</v>
      </c>
      <c r="H73" s="8"/>
      <c r="I73" s="2">
        <f t="shared" si="1"/>
        <v>0</v>
      </c>
      <c r="J73" s="2" t="s">
        <v>604</v>
      </c>
      <c r="K73" s="2">
        <f t="shared" si="2"/>
        <v>47</v>
      </c>
      <c r="L73" s="2" t="s">
        <v>450</v>
      </c>
      <c r="M73" s="2"/>
      <c r="N73" s="9" t="s">
        <v>179</v>
      </c>
      <c r="O73" s="6" t="s">
        <v>605</v>
      </c>
      <c r="P73" s="8" t="s">
        <v>37</v>
      </c>
      <c r="Q73" s="8" t="s">
        <v>452</v>
      </c>
      <c r="R73" s="8" t="s">
        <v>38</v>
      </c>
      <c r="S73" s="11" t="s">
        <v>102</v>
      </c>
      <c r="T73" s="2" t="s">
        <v>606</v>
      </c>
      <c r="U73" s="2">
        <v>27812926</v>
      </c>
      <c r="V73" s="2"/>
      <c r="W73" s="2"/>
      <c r="X73" s="2"/>
      <c r="Y73" s="2" t="s">
        <v>607</v>
      </c>
      <c r="Z73" s="2" t="s">
        <v>42</v>
      </c>
      <c r="AA73" s="2" t="s">
        <v>608</v>
      </c>
    </row>
    <row r="74" spans="1:27" x14ac:dyDescent="0.2">
      <c r="A74" s="2" t="s">
        <v>609</v>
      </c>
      <c r="B74" s="24" t="s">
        <v>610</v>
      </c>
      <c r="C74" s="24"/>
      <c r="D74" s="2"/>
      <c r="E74" s="15" t="s">
        <v>29</v>
      </c>
      <c r="F74" s="8" t="s">
        <v>611</v>
      </c>
      <c r="G74" s="2">
        <f t="shared" si="3"/>
        <v>30</v>
      </c>
      <c r="H74" s="8"/>
      <c r="I74" s="2">
        <f t="shared" si="1"/>
        <v>0</v>
      </c>
      <c r="J74" s="2" t="s">
        <v>611</v>
      </c>
      <c r="K74" s="2">
        <f t="shared" si="2"/>
        <v>30</v>
      </c>
      <c r="L74" s="2" t="s">
        <v>450</v>
      </c>
      <c r="M74" s="2"/>
      <c r="N74" s="9" t="s">
        <v>612</v>
      </c>
      <c r="O74" s="8" t="s">
        <v>613</v>
      </c>
      <c r="P74" s="8" t="s">
        <v>37</v>
      </c>
      <c r="Q74" s="8" t="s">
        <v>452</v>
      </c>
      <c r="R74" s="8" t="s">
        <v>38</v>
      </c>
      <c r="S74" s="11" t="s">
        <v>102</v>
      </c>
      <c r="T74" s="2" t="s">
        <v>614</v>
      </c>
      <c r="U74" s="2">
        <v>16244793</v>
      </c>
      <c r="V74" s="2"/>
      <c r="W74" s="2"/>
      <c r="X74" s="2"/>
      <c r="Y74" s="2" t="s">
        <v>615</v>
      </c>
      <c r="Z74" s="2" t="s">
        <v>42</v>
      </c>
      <c r="AA74" s="2" t="s">
        <v>463</v>
      </c>
    </row>
    <row r="75" spans="1:27" x14ac:dyDescent="0.2">
      <c r="A75" s="2" t="s">
        <v>616</v>
      </c>
      <c r="B75" s="24" t="s">
        <v>617</v>
      </c>
      <c r="C75" s="24"/>
      <c r="D75" s="2"/>
      <c r="E75" s="15" t="s">
        <v>29</v>
      </c>
      <c r="F75" s="8" t="s">
        <v>618</v>
      </c>
      <c r="G75" s="2">
        <f t="shared" si="3"/>
        <v>43</v>
      </c>
      <c r="H75" s="8"/>
      <c r="I75" s="2">
        <f t="shared" si="1"/>
        <v>0</v>
      </c>
      <c r="J75" s="2" t="s">
        <v>618</v>
      </c>
      <c r="K75" s="2">
        <f t="shared" si="2"/>
        <v>43</v>
      </c>
      <c r="L75" s="2" t="s">
        <v>450</v>
      </c>
      <c r="M75" s="2"/>
      <c r="N75" s="9" t="s">
        <v>189</v>
      </c>
      <c r="O75" s="8" t="s">
        <v>619</v>
      </c>
      <c r="P75" s="8" t="s">
        <v>37</v>
      </c>
      <c r="Q75" s="8" t="s">
        <v>452</v>
      </c>
      <c r="R75" s="8" t="s">
        <v>38</v>
      </c>
      <c r="S75" s="11" t="s">
        <v>102</v>
      </c>
      <c r="T75" s="2" t="s">
        <v>620</v>
      </c>
      <c r="U75" s="2">
        <v>15541799</v>
      </c>
      <c r="V75" s="2"/>
      <c r="W75" s="2" t="s">
        <v>621</v>
      </c>
      <c r="X75" s="2"/>
      <c r="Y75" s="2" t="s">
        <v>622</v>
      </c>
      <c r="Z75" s="2" t="s">
        <v>42</v>
      </c>
      <c r="AA75" s="2" t="s">
        <v>463</v>
      </c>
    </row>
    <row r="76" spans="1:27" x14ac:dyDescent="0.2">
      <c r="A76" s="2" t="s">
        <v>623</v>
      </c>
      <c r="B76" s="24" t="s">
        <v>624</v>
      </c>
      <c r="C76" s="24"/>
      <c r="D76" s="2"/>
      <c r="E76" s="15" t="s">
        <v>29</v>
      </c>
      <c r="F76" s="8" t="s">
        <v>625</v>
      </c>
      <c r="G76" s="2">
        <f t="shared" si="3"/>
        <v>43</v>
      </c>
      <c r="H76" s="8"/>
      <c r="I76" s="2">
        <f t="shared" si="1"/>
        <v>0</v>
      </c>
      <c r="J76" s="2" t="s">
        <v>625</v>
      </c>
      <c r="K76" s="2">
        <f t="shared" si="2"/>
        <v>43</v>
      </c>
      <c r="L76" s="2" t="s">
        <v>450</v>
      </c>
      <c r="M76" s="2"/>
      <c r="N76" s="9" t="s">
        <v>139</v>
      </c>
      <c r="O76" s="8" t="s">
        <v>626</v>
      </c>
      <c r="P76" s="8" t="s">
        <v>37</v>
      </c>
      <c r="Q76" s="8" t="s">
        <v>452</v>
      </c>
      <c r="R76" s="8" t="s">
        <v>38</v>
      </c>
      <c r="S76" s="11" t="s">
        <v>102</v>
      </c>
      <c r="T76" s="2" t="s">
        <v>627</v>
      </c>
      <c r="U76" s="2">
        <v>15640235</v>
      </c>
      <c r="V76" s="2"/>
      <c r="W76" s="2"/>
      <c r="X76" s="2"/>
      <c r="Y76" s="2" t="s">
        <v>628</v>
      </c>
      <c r="Z76" s="2" t="s">
        <v>42</v>
      </c>
      <c r="AA76" s="2" t="s">
        <v>629</v>
      </c>
    </row>
    <row r="77" spans="1:27" x14ac:dyDescent="0.2">
      <c r="A77" s="2" t="s">
        <v>630</v>
      </c>
      <c r="B77" s="24" t="s">
        <v>631</v>
      </c>
      <c r="C77" s="24"/>
      <c r="D77" s="2"/>
      <c r="E77" s="15" t="s">
        <v>29</v>
      </c>
      <c r="F77" s="8" t="s">
        <v>632</v>
      </c>
      <c r="G77" s="2">
        <f t="shared" si="3"/>
        <v>22</v>
      </c>
      <c r="H77" s="8"/>
      <c r="I77" s="2">
        <f t="shared" si="1"/>
        <v>0</v>
      </c>
      <c r="J77" s="8"/>
      <c r="K77" s="2">
        <f t="shared" si="2"/>
        <v>0</v>
      </c>
      <c r="L77" s="2" t="s">
        <v>450</v>
      </c>
      <c r="M77" s="2"/>
      <c r="N77" s="9" t="s">
        <v>633</v>
      </c>
      <c r="O77" s="8">
        <v>812</v>
      </c>
      <c r="P77" s="8" t="s">
        <v>37</v>
      </c>
      <c r="Q77" s="8" t="s">
        <v>452</v>
      </c>
      <c r="R77" s="8" t="s">
        <v>634</v>
      </c>
      <c r="S77" s="11" t="s">
        <v>102</v>
      </c>
      <c r="T77" s="2" t="s">
        <v>635</v>
      </c>
      <c r="U77" s="2">
        <v>23912616</v>
      </c>
      <c r="V77" s="2"/>
      <c r="W77" s="2"/>
      <c r="X77" s="2"/>
      <c r="Y77" s="2" t="s">
        <v>636</v>
      </c>
      <c r="Z77" s="2" t="s">
        <v>42</v>
      </c>
      <c r="AA77" s="2" t="s">
        <v>637</v>
      </c>
    </row>
    <row r="78" spans="1:27" x14ac:dyDescent="0.2">
      <c r="A78" s="2" t="s">
        <v>638</v>
      </c>
      <c r="B78" s="24" t="s">
        <v>639</v>
      </c>
      <c r="C78" s="24"/>
      <c r="D78" s="2"/>
      <c r="E78" s="15" t="s">
        <v>29</v>
      </c>
      <c r="F78" s="8" t="s">
        <v>640</v>
      </c>
      <c r="G78" s="2">
        <f t="shared" si="3"/>
        <v>19</v>
      </c>
      <c r="H78" s="8"/>
      <c r="I78" s="2">
        <f t="shared" si="1"/>
        <v>0</v>
      </c>
      <c r="J78" s="8"/>
      <c r="K78" s="2">
        <f t="shared" si="2"/>
        <v>0</v>
      </c>
      <c r="L78" s="2" t="s">
        <v>450</v>
      </c>
      <c r="M78" s="2"/>
      <c r="N78" s="9" t="s">
        <v>305</v>
      </c>
      <c r="O78" s="8" t="s">
        <v>641</v>
      </c>
      <c r="P78" s="8" t="s">
        <v>37</v>
      </c>
      <c r="Q78" s="8" t="s">
        <v>452</v>
      </c>
      <c r="R78" s="8" t="s">
        <v>634</v>
      </c>
      <c r="S78" s="11" t="s">
        <v>102</v>
      </c>
      <c r="T78" s="2" t="s">
        <v>642</v>
      </c>
      <c r="U78" s="2">
        <v>18093831</v>
      </c>
      <c r="V78" s="2"/>
      <c r="W78" s="2"/>
      <c r="X78" s="2"/>
      <c r="Y78" s="2" t="s">
        <v>643</v>
      </c>
      <c r="Z78" s="2" t="s">
        <v>42</v>
      </c>
      <c r="AA78" s="2" t="s">
        <v>637</v>
      </c>
    </row>
    <row r="79" spans="1:27" x14ac:dyDescent="0.2">
      <c r="A79" s="2" t="s">
        <v>644</v>
      </c>
      <c r="B79" s="24" t="s">
        <v>645</v>
      </c>
      <c r="C79" s="24"/>
      <c r="D79" s="2"/>
      <c r="E79" s="15" t="s">
        <v>29</v>
      </c>
      <c r="F79" s="8" t="s">
        <v>646</v>
      </c>
      <c r="G79" s="2">
        <f t="shared" si="3"/>
        <v>15</v>
      </c>
      <c r="H79" s="8"/>
      <c r="I79" s="2">
        <f t="shared" ref="I79:I142" si="4">LEN(H79)</f>
        <v>0</v>
      </c>
      <c r="J79" s="8"/>
      <c r="K79" s="2">
        <f t="shared" ref="K79:K142" si="5">LEN(J79)</f>
        <v>0</v>
      </c>
      <c r="L79" s="2" t="s">
        <v>450</v>
      </c>
      <c r="M79" s="2"/>
      <c r="N79" s="9" t="s">
        <v>647</v>
      </c>
      <c r="O79" s="6" t="s">
        <v>648</v>
      </c>
      <c r="P79" s="8" t="s">
        <v>37</v>
      </c>
      <c r="Q79" s="8" t="s">
        <v>452</v>
      </c>
      <c r="R79" s="8" t="s">
        <v>634</v>
      </c>
      <c r="S79" s="11" t="s">
        <v>102</v>
      </c>
      <c r="T79" s="2" t="s">
        <v>649</v>
      </c>
      <c r="U79" s="2">
        <v>20003734</v>
      </c>
      <c r="V79" s="2"/>
      <c r="W79" s="2"/>
      <c r="X79" s="2"/>
      <c r="Y79" s="2" t="s">
        <v>650</v>
      </c>
      <c r="Z79" s="2" t="s">
        <v>42</v>
      </c>
      <c r="AA79" s="2" t="s">
        <v>651</v>
      </c>
    </row>
    <row r="80" spans="1:27" x14ac:dyDescent="0.2">
      <c r="A80" s="2" t="s">
        <v>652</v>
      </c>
      <c r="B80" s="24" t="s">
        <v>653</v>
      </c>
      <c r="C80" s="24"/>
      <c r="D80" s="2"/>
      <c r="E80" s="15" t="s">
        <v>29</v>
      </c>
      <c r="F80" s="8" t="s">
        <v>654</v>
      </c>
      <c r="G80" s="8">
        <f t="shared" si="3"/>
        <v>19</v>
      </c>
      <c r="H80" s="8"/>
      <c r="I80" s="2">
        <f t="shared" si="4"/>
        <v>0</v>
      </c>
      <c r="J80" s="8"/>
      <c r="K80" s="2">
        <f t="shared" si="5"/>
        <v>0</v>
      </c>
      <c r="L80" s="2" t="s">
        <v>450</v>
      </c>
      <c r="M80" s="2"/>
      <c r="N80" s="9" t="s">
        <v>655</v>
      </c>
      <c r="O80" s="8" t="s">
        <v>656</v>
      </c>
      <c r="P80" s="8" t="s">
        <v>37</v>
      </c>
      <c r="Q80" s="8" t="s">
        <v>452</v>
      </c>
      <c r="R80" s="8" t="s">
        <v>634</v>
      </c>
      <c r="S80" s="11" t="s">
        <v>102</v>
      </c>
      <c r="T80" s="2" t="s">
        <v>657</v>
      </c>
      <c r="U80" s="2">
        <v>14995112</v>
      </c>
      <c r="V80" s="2"/>
      <c r="W80" s="2"/>
      <c r="X80" s="2"/>
      <c r="Y80" s="2" t="s">
        <v>658</v>
      </c>
      <c r="Z80" s="2" t="s">
        <v>42</v>
      </c>
      <c r="AA80" s="2" t="s">
        <v>651</v>
      </c>
    </row>
    <row r="81" spans="1:27" x14ac:dyDescent="0.2">
      <c r="A81" s="2" t="s">
        <v>659</v>
      </c>
      <c r="B81" s="24" t="s">
        <v>660</v>
      </c>
      <c r="C81" s="24"/>
      <c r="D81" s="2"/>
      <c r="E81" s="15" t="s">
        <v>29</v>
      </c>
      <c r="F81" s="8" t="s">
        <v>661</v>
      </c>
      <c r="G81" s="8">
        <f t="shared" si="3"/>
        <v>36</v>
      </c>
      <c r="H81" s="8"/>
      <c r="I81" s="2">
        <f t="shared" si="4"/>
        <v>0</v>
      </c>
      <c r="J81" s="8"/>
      <c r="K81" s="2">
        <f t="shared" si="5"/>
        <v>0</v>
      </c>
      <c r="L81" s="2" t="s">
        <v>450</v>
      </c>
      <c r="M81" s="2"/>
      <c r="N81" s="9" t="s">
        <v>662</v>
      </c>
      <c r="O81" s="8" t="s">
        <v>417</v>
      </c>
      <c r="P81" s="8" t="s">
        <v>37</v>
      </c>
      <c r="Q81" s="8" t="s">
        <v>452</v>
      </c>
      <c r="R81" s="8" t="s">
        <v>634</v>
      </c>
      <c r="S81" s="11" t="s">
        <v>102</v>
      </c>
      <c r="T81" s="2" t="s">
        <v>663</v>
      </c>
      <c r="U81" s="2">
        <v>9611809</v>
      </c>
      <c r="V81" s="2"/>
      <c r="W81" s="2"/>
      <c r="X81" s="2"/>
      <c r="Y81" s="2" t="s">
        <v>664</v>
      </c>
      <c r="Z81" s="2" t="s">
        <v>42</v>
      </c>
      <c r="AA81" s="2" t="s">
        <v>651</v>
      </c>
    </row>
    <row r="82" spans="1:27" x14ac:dyDescent="0.2">
      <c r="A82" s="2" t="s">
        <v>665</v>
      </c>
      <c r="B82" s="24" t="s">
        <v>666</v>
      </c>
      <c r="C82" s="8" t="s">
        <v>667</v>
      </c>
      <c r="D82" s="2" t="s">
        <v>668</v>
      </c>
      <c r="E82" s="6" t="s">
        <v>669</v>
      </c>
      <c r="F82" s="8" t="s">
        <v>670</v>
      </c>
      <c r="G82" s="8">
        <f t="shared" si="3"/>
        <v>64</v>
      </c>
      <c r="H82" s="2" t="s">
        <v>671</v>
      </c>
      <c r="I82" s="2">
        <f t="shared" si="4"/>
        <v>19</v>
      </c>
      <c r="J82" s="2" t="s">
        <v>672</v>
      </c>
      <c r="K82" s="2">
        <f t="shared" si="5"/>
        <v>45</v>
      </c>
      <c r="L82" s="2" t="s">
        <v>33</v>
      </c>
      <c r="M82" s="2" t="s">
        <v>34</v>
      </c>
      <c r="N82" s="25" t="s">
        <v>476</v>
      </c>
      <c r="O82" s="26" t="s">
        <v>673</v>
      </c>
      <c r="P82" s="8" t="s">
        <v>37</v>
      </c>
      <c r="Q82" s="8" t="s">
        <v>38</v>
      </c>
      <c r="R82" s="8" t="s">
        <v>38</v>
      </c>
      <c r="S82" s="24" t="s">
        <v>674</v>
      </c>
      <c r="T82" s="24" t="s">
        <v>675</v>
      </c>
      <c r="U82" s="24">
        <v>11932444</v>
      </c>
      <c r="V82" s="2"/>
      <c r="W82" s="2" t="s">
        <v>676</v>
      </c>
      <c r="X82" s="2"/>
      <c r="Y82" s="24" t="s">
        <v>677</v>
      </c>
      <c r="Z82" s="2" t="s">
        <v>42</v>
      </c>
      <c r="AA82" s="2"/>
    </row>
    <row r="83" spans="1:27" x14ac:dyDescent="0.2">
      <c r="A83" s="2" t="s">
        <v>678</v>
      </c>
      <c r="B83" s="24"/>
      <c r="C83" s="8" t="s">
        <v>679</v>
      </c>
      <c r="D83" s="2" t="s">
        <v>680</v>
      </c>
      <c r="E83" s="6" t="s">
        <v>669</v>
      </c>
      <c r="F83" s="8" t="s">
        <v>681</v>
      </c>
      <c r="G83" s="8">
        <f t="shared" si="3"/>
        <v>68</v>
      </c>
      <c r="H83" s="2" t="s">
        <v>682</v>
      </c>
      <c r="I83" s="2">
        <f t="shared" si="4"/>
        <v>22</v>
      </c>
      <c r="J83" s="2" t="s">
        <v>683</v>
      </c>
      <c r="K83" s="2">
        <f t="shared" si="5"/>
        <v>46</v>
      </c>
      <c r="L83" s="2" t="s">
        <v>33</v>
      </c>
      <c r="M83" s="2" t="s">
        <v>34</v>
      </c>
      <c r="N83" s="25"/>
      <c r="O83" s="26"/>
      <c r="P83" s="8" t="s">
        <v>37</v>
      </c>
      <c r="Q83" s="8" t="s">
        <v>38</v>
      </c>
      <c r="R83" s="8" t="s">
        <v>38</v>
      </c>
      <c r="S83" s="24"/>
      <c r="T83" s="24"/>
      <c r="U83" s="24"/>
      <c r="V83" s="2"/>
      <c r="W83" s="2"/>
      <c r="X83" s="2"/>
      <c r="Y83" s="24"/>
      <c r="Z83" s="2" t="s">
        <v>42</v>
      </c>
      <c r="AA83" s="2"/>
    </row>
    <row r="84" spans="1:27" x14ac:dyDescent="0.2">
      <c r="A84" s="2" t="s">
        <v>684</v>
      </c>
      <c r="B84" s="24" t="s">
        <v>685</v>
      </c>
      <c r="C84" s="8" t="s">
        <v>686</v>
      </c>
      <c r="D84" s="8"/>
      <c r="E84" s="6" t="s">
        <v>669</v>
      </c>
      <c r="F84" s="2" t="s">
        <v>687</v>
      </c>
      <c r="G84" s="8">
        <f t="shared" si="3"/>
        <v>80</v>
      </c>
      <c r="H84" s="2" t="s">
        <v>688</v>
      </c>
      <c r="I84" s="2">
        <f t="shared" si="4"/>
        <v>18</v>
      </c>
      <c r="J84" s="2" t="s">
        <v>689</v>
      </c>
      <c r="K84" s="2">
        <f t="shared" si="5"/>
        <v>62</v>
      </c>
      <c r="L84" s="2" t="s">
        <v>33</v>
      </c>
      <c r="M84" s="2" t="s">
        <v>34</v>
      </c>
      <c r="N84" s="25" t="s">
        <v>690</v>
      </c>
      <c r="O84" s="26" t="s">
        <v>691</v>
      </c>
      <c r="P84" s="8" t="s">
        <v>37</v>
      </c>
      <c r="Q84" s="8" t="s">
        <v>38</v>
      </c>
      <c r="R84" s="8" t="s">
        <v>38</v>
      </c>
      <c r="S84" s="24" t="s">
        <v>692</v>
      </c>
      <c r="T84" s="24" t="s">
        <v>693</v>
      </c>
      <c r="U84" s="24">
        <v>18803001</v>
      </c>
      <c r="V84" s="2"/>
      <c r="W84" s="2"/>
      <c r="X84" s="2"/>
      <c r="Y84" s="24" t="s">
        <v>694</v>
      </c>
      <c r="Z84" s="2" t="s">
        <v>42</v>
      </c>
      <c r="AA84" s="2"/>
    </row>
    <row r="85" spans="1:27" x14ac:dyDescent="0.2">
      <c r="A85" s="2" t="s">
        <v>695</v>
      </c>
      <c r="B85" s="24"/>
      <c r="C85" s="8" t="s">
        <v>696</v>
      </c>
      <c r="D85" s="8" t="s">
        <v>697</v>
      </c>
      <c r="E85" s="6" t="s">
        <v>669</v>
      </c>
      <c r="F85" s="8" t="s">
        <v>698</v>
      </c>
      <c r="G85" s="8">
        <f t="shared" si="3"/>
        <v>65</v>
      </c>
      <c r="H85" s="2" t="s">
        <v>699</v>
      </c>
      <c r="I85" s="2">
        <f t="shared" si="4"/>
        <v>15</v>
      </c>
      <c r="J85" s="2" t="s">
        <v>700</v>
      </c>
      <c r="K85" s="2">
        <f t="shared" si="5"/>
        <v>50</v>
      </c>
      <c r="L85" s="2" t="s">
        <v>33</v>
      </c>
      <c r="M85" s="2" t="s">
        <v>34</v>
      </c>
      <c r="N85" s="25"/>
      <c r="O85" s="26"/>
      <c r="P85" s="8" t="s">
        <v>37</v>
      </c>
      <c r="Q85" s="8" t="s">
        <v>38</v>
      </c>
      <c r="R85" s="8" t="s">
        <v>38</v>
      </c>
      <c r="S85" s="24"/>
      <c r="T85" s="24"/>
      <c r="U85" s="24"/>
      <c r="V85" s="2"/>
      <c r="W85" s="2" t="s">
        <v>701</v>
      </c>
      <c r="X85" s="2"/>
      <c r="Y85" s="24"/>
      <c r="Z85" s="2" t="s">
        <v>42</v>
      </c>
      <c r="AA85" s="2"/>
    </row>
    <row r="86" spans="1:27" x14ac:dyDescent="0.2">
      <c r="A86" s="2" t="s">
        <v>702</v>
      </c>
      <c r="B86" s="24" t="s">
        <v>703</v>
      </c>
      <c r="C86" s="8" t="s">
        <v>704</v>
      </c>
      <c r="D86" s="8" t="s">
        <v>705</v>
      </c>
      <c r="E86" s="6" t="s">
        <v>669</v>
      </c>
      <c r="F86" s="8" t="s">
        <v>706</v>
      </c>
      <c r="G86" s="8">
        <f t="shared" si="3"/>
        <v>69</v>
      </c>
      <c r="H86" s="2" t="s">
        <v>707</v>
      </c>
      <c r="I86" s="2">
        <f t="shared" si="4"/>
        <v>16</v>
      </c>
      <c r="J86" s="2" t="s">
        <v>708</v>
      </c>
      <c r="K86" s="2">
        <f t="shared" si="5"/>
        <v>53</v>
      </c>
      <c r="L86" s="2" t="s">
        <v>33</v>
      </c>
      <c r="M86" s="2" t="s">
        <v>34</v>
      </c>
      <c r="N86" s="25" t="s">
        <v>709</v>
      </c>
      <c r="O86" s="26" t="s">
        <v>710</v>
      </c>
      <c r="P86" s="8" t="s">
        <v>37</v>
      </c>
      <c r="Q86" s="8" t="s">
        <v>38</v>
      </c>
      <c r="R86" s="8" t="s">
        <v>38</v>
      </c>
      <c r="S86" s="24" t="s">
        <v>711</v>
      </c>
      <c r="T86" s="24" t="s">
        <v>712</v>
      </c>
      <c r="U86" s="24">
        <v>14504837</v>
      </c>
      <c r="V86" s="2"/>
      <c r="W86" s="2"/>
      <c r="X86" s="2"/>
      <c r="Y86" s="24" t="s">
        <v>713</v>
      </c>
      <c r="Z86" s="2" t="s">
        <v>42</v>
      </c>
      <c r="AA86" s="2"/>
    </row>
    <row r="87" spans="1:27" x14ac:dyDescent="0.2">
      <c r="A87" s="2" t="s">
        <v>714</v>
      </c>
      <c r="B87" s="24"/>
      <c r="C87" s="8" t="s">
        <v>715</v>
      </c>
      <c r="D87" s="8"/>
      <c r="E87" s="6" t="s">
        <v>669</v>
      </c>
      <c r="F87" s="8" t="s">
        <v>716</v>
      </c>
      <c r="G87" s="8">
        <f t="shared" si="3"/>
        <v>65</v>
      </c>
      <c r="H87" s="2" t="s">
        <v>717</v>
      </c>
      <c r="I87" s="2">
        <f t="shared" si="4"/>
        <v>17</v>
      </c>
      <c r="J87" s="2" t="s">
        <v>718</v>
      </c>
      <c r="K87" s="2">
        <f t="shared" si="5"/>
        <v>48</v>
      </c>
      <c r="L87" s="2" t="s">
        <v>33</v>
      </c>
      <c r="M87" s="2" t="s">
        <v>34</v>
      </c>
      <c r="N87" s="25"/>
      <c r="O87" s="26"/>
      <c r="P87" s="8" t="s">
        <v>37</v>
      </c>
      <c r="Q87" s="8" t="s">
        <v>38</v>
      </c>
      <c r="R87" s="8" t="s">
        <v>38</v>
      </c>
      <c r="S87" s="24"/>
      <c r="T87" s="24"/>
      <c r="U87" s="24"/>
      <c r="V87" s="2"/>
      <c r="W87" s="2"/>
      <c r="X87" s="2"/>
      <c r="Y87" s="24"/>
      <c r="Z87" s="2" t="s">
        <v>42</v>
      </c>
      <c r="AA87" s="2"/>
    </row>
    <row r="88" spans="1:27" x14ac:dyDescent="0.2">
      <c r="A88" s="2" t="s">
        <v>719</v>
      </c>
      <c r="B88" s="24" t="s">
        <v>720</v>
      </c>
      <c r="C88" s="8" t="s">
        <v>721</v>
      </c>
      <c r="D88" s="8" t="s">
        <v>722</v>
      </c>
      <c r="E88" s="6" t="s">
        <v>669</v>
      </c>
      <c r="F88" s="2" t="s">
        <v>723</v>
      </c>
      <c r="G88" s="8">
        <f t="shared" si="3"/>
        <v>73</v>
      </c>
      <c r="H88" s="2" t="s">
        <v>724</v>
      </c>
      <c r="I88" s="2">
        <f t="shared" si="4"/>
        <v>18</v>
      </c>
      <c r="J88" s="2" t="s">
        <v>725</v>
      </c>
      <c r="K88" s="2">
        <f t="shared" si="5"/>
        <v>55</v>
      </c>
      <c r="L88" s="2" t="s">
        <v>33</v>
      </c>
      <c r="M88" s="2" t="s">
        <v>34</v>
      </c>
      <c r="N88" s="25" t="s">
        <v>726</v>
      </c>
      <c r="O88" s="26" t="s">
        <v>727</v>
      </c>
      <c r="P88" s="8" t="s">
        <v>37</v>
      </c>
      <c r="Q88" s="8" t="s">
        <v>38</v>
      </c>
      <c r="R88" s="8" t="s">
        <v>38</v>
      </c>
      <c r="S88" s="24" t="s">
        <v>728</v>
      </c>
      <c r="T88" s="24" t="s">
        <v>729</v>
      </c>
      <c r="U88" s="24">
        <v>26632181</v>
      </c>
      <c r="V88" s="2"/>
      <c r="W88" s="2"/>
      <c r="X88" s="2"/>
      <c r="Y88" s="24" t="s">
        <v>730</v>
      </c>
      <c r="Z88" s="2" t="s">
        <v>42</v>
      </c>
      <c r="AA88" s="2"/>
    </row>
    <row r="89" spans="1:27" x14ac:dyDescent="0.2">
      <c r="A89" s="2" t="s">
        <v>731</v>
      </c>
      <c r="B89" s="24"/>
      <c r="C89" s="8" t="s">
        <v>732</v>
      </c>
      <c r="D89" s="8" t="s">
        <v>733</v>
      </c>
      <c r="E89" s="6" t="s">
        <v>669</v>
      </c>
      <c r="F89" s="2" t="s">
        <v>734</v>
      </c>
      <c r="G89" s="8">
        <f t="shared" si="3"/>
        <v>69</v>
      </c>
      <c r="H89" s="2" t="s">
        <v>735</v>
      </c>
      <c r="I89" s="2">
        <f t="shared" si="4"/>
        <v>16</v>
      </c>
      <c r="J89" s="2" t="s">
        <v>736</v>
      </c>
      <c r="K89" s="2">
        <f t="shared" si="5"/>
        <v>53</v>
      </c>
      <c r="L89" s="2" t="s">
        <v>33</v>
      </c>
      <c r="M89" s="2" t="s">
        <v>34</v>
      </c>
      <c r="N89" s="25"/>
      <c r="O89" s="26"/>
      <c r="P89" s="8" t="s">
        <v>37</v>
      </c>
      <c r="Q89" s="8" t="s">
        <v>38</v>
      </c>
      <c r="R89" s="8" t="s">
        <v>38</v>
      </c>
      <c r="S89" s="24"/>
      <c r="T89" s="24"/>
      <c r="U89" s="24"/>
      <c r="V89" s="2"/>
      <c r="W89" s="2"/>
      <c r="X89" s="2"/>
      <c r="Y89" s="24"/>
      <c r="Z89" s="2" t="s">
        <v>42</v>
      </c>
      <c r="AA89" s="2"/>
    </row>
    <row r="90" spans="1:27" x14ac:dyDescent="0.2">
      <c r="A90" s="2" t="s">
        <v>737</v>
      </c>
      <c r="B90" s="24" t="s">
        <v>738</v>
      </c>
      <c r="C90" s="8" t="s">
        <v>739</v>
      </c>
      <c r="D90" s="8"/>
      <c r="E90" s="6" t="s">
        <v>669</v>
      </c>
      <c r="F90" s="8" t="s">
        <v>740</v>
      </c>
      <c r="G90" s="8">
        <f t="shared" si="3"/>
        <v>51</v>
      </c>
      <c r="H90" s="2" t="s">
        <v>741</v>
      </c>
      <c r="I90" s="2">
        <f t="shared" si="4"/>
        <v>18</v>
      </c>
      <c r="J90" s="2" t="s">
        <v>742</v>
      </c>
      <c r="K90" s="2">
        <f t="shared" si="5"/>
        <v>33</v>
      </c>
      <c r="L90" s="2" t="s">
        <v>33</v>
      </c>
      <c r="M90" s="2" t="s">
        <v>34</v>
      </c>
      <c r="N90" s="25" t="s">
        <v>743</v>
      </c>
      <c r="O90" s="26"/>
      <c r="P90" s="8" t="s">
        <v>37</v>
      </c>
      <c r="Q90" s="8" t="s">
        <v>38</v>
      </c>
      <c r="R90" s="8" t="s">
        <v>38</v>
      </c>
      <c r="S90" s="27" t="s">
        <v>744</v>
      </c>
      <c r="T90" s="24" t="s">
        <v>745</v>
      </c>
      <c r="U90" s="24">
        <v>28391617</v>
      </c>
      <c r="V90" s="2"/>
      <c r="W90" s="2"/>
      <c r="X90" s="2"/>
      <c r="Y90" s="24" t="s">
        <v>746</v>
      </c>
      <c r="Z90" s="2" t="s">
        <v>42</v>
      </c>
      <c r="AA90" s="2"/>
    </row>
    <row r="91" spans="1:27" x14ac:dyDescent="0.2">
      <c r="A91" s="2" t="s">
        <v>747</v>
      </c>
      <c r="B91" s="24"/>
      <c r="C91" s="8" t="s">
        <v>748</v>
      </c>
      <c r="D91" s="8"/>
      <c r="E91" s="6" t="s">
        <v>669</v>
      </c>
      <c r="F91" s="17" t="s">
        <v>749</v>
      </c>
      <c r="G91" s="8">
        <f t="shared" si="3"/>
        <v>48</v>
      </c>
      <c r="H91" s="2" t="s">
        <v>750</v>
      </c>
      <c r="I91" s="2">
        <f t="shared" si="4"/>
        <v>19</v>
      </c>
      <c r="J91" s="2" t="s">
        <v>751</v>
      </c>
      <c r="K91" s="2">
        <f t="shared" si="5"/>
        <v>29</v>
      </c>
      <c r="L91" s="2" t="s">
        <v>33</v>
      </c>
      <c r="M91" s="2" t="s">
        <v>34</v>
      </c>
      <c r="N91" s="25"/>
      <c r="O91" s="26"/>
      <c r="P91" s="8" t="s">
        <v>37</v>
      </c>
      <c r="Q91" s="8" t="s">
        <v>38</v>
      </c>
      <c r="R91" s="8" t="s">
        <v>38</v>
      </c>
      <c r="S91" s="24"/>
      <c r="T91" s="24"/>
      <c r="U91" s="24"/>
      <c r="V91" s="2"/>
      <c r="W91" s="2"/>
      <c r="X91" s="2"/>
      <c r="Y91" s="24"/>
      <c r="Z91" s="2" t="s">
        <v>42</v>
      </c>
      <c r="AA91" s="2"/>
    </row>
    <row r="92" spans="1:27" x14ac:dyDescent="0.2">
      <c r="A92" s="2" t="s">
        <v>752</v>
      </c>
      <c r="B92" s="24" t="s">
        <v>753</v>
      </c>
      <c r="C92" s="8" t="s">
        <v>754</v>
      </c>
      <c r="D92" s="8"/>
      <c r="E92" s="6" t="s">
        <v>669</v>
      </c>
      <c r="F92" s="8" t="s">
        <v>755</v>
      </c>
      <c r="G92" s="8">
        <f t="shared" si="3"/>
        <v>58</v>
      </c>
      <c r="H92" s="2" t="s">
        <v>756</v>
      </c>
      <c r="I92" s="2">
        <f t="shared" si="4"/>
        <v>18</v>
      </c>
      <c r="J92" s="2" t="s">
        <v>757</v>
      </c>
      <c r="K92" s="2">
        <f t="shared" si="5"/>
        <v>40</v>
      </c>
      <c r="L92" s="2" t="s">
        <v>33</v>
      </c>
      <c r="M92" s="2" t="s">
        <v>34</v>
      </c>
      <c r="N92" s="25" t="s">
        <v>83</v>
      </c>
      <c r="O92" s="26" t="s">
        <v>758</v>
      </c>
      <c r="P92" s="8" t="s">
        <v>37</v>
      </c>
      <c r="Q92" s="8" t="s">
        <v>38</v>
      </c>
      <c r="R92" s="8" t="s">
        <v>38</v>
      </c>
      <c r="S92" s="24" t="s">
        <v>759</v>
      </c>
      <c r="T92" s="24" t="s">
        <v>760</v>
      </c>
      <c r="U92" s="24">
        <v>20418437</v>
      </c>
      <c r="V92" s="2"/>
      <c r="W92" s="14" t="s">
        <v>761</v>
      </c>
      <c r="X92" s="2"/>
      <c r="Y92" s="24" t="s">
        <v>762</v>
      </c>
      <c r="Z92" s="2" t="s">
        <v>42</v>
      </c>
      <c r="AA92" s="2"/>
    </row>
    <row r="93" spans="1:27" x14ac:dyDescent="0.2">
      <c r="A93" s="2" t="s">
        <v>763</v>
      </c>
      <c r="B93" s="24"/>
      <c r="C93" s="8" t="s">
        <v>764</v>
      </c>
      <c r="D93" s="8"/>
      <c r="E93" s="6" t="s">
        <v>669</v>
      </c>
      <c r="F93" s="8" t="s">
        <v>765</v>
      </c>
      <c r="G93" s="8">
        <f t="shared" si="3"/>
        <v>55</v>
      </c>
      <c r="H93" s="2" t="s">
        <v>766</v>
      </c>
      <c r="I93" s="2">
        <f t="shared" si="4"/>
        <v>18</v>
      </c>
      <c r="J93" s="2" t="s">
        <v>767</v>
      </c>
      <c r="K93" s="2">
        <f t="shared" si="5"/>
        <v>37</v>
      </c>
      <c r="L93" s="2" t="s">
        <v>33</v>
      </c>
      <c r="M93" s="2" t="s">
        <v>34</v>
      </c>
      <c r="N93" s="25"/>
      <c r="O93" s="26"/>
      <c r="P93" s="8" t="s">
        <v>37</v>
      </c>
      <c r="Q93" s="8" t="s">
        <v>38</v>
      </c>
      <c r="R93" s="8" t="s">
        <v>38</v>
      </c>
      <c r="S93" s="24"/>
      <c r="T93" s="24"/>
      <c r="U93" s="24"/>
      <c r="V93" s="2"/>
      <c r="W93" s="2"/>
      <c r="X93" s="2"/>
      <c r="Y93" s="24"/>
      <c r="Z93" s="2" t="s">
        <v>42</v>
      </c>
      <c r="AA93" s="2"/>
    </row>
    <row r="94" spans="1:27" x14ac:dyDescent="0.2">
      <c r="A94" s="2" t="s">
        <v>768</v>
      </c>
      <c r="B94" s="24" t="s">
        <v>769</v>
      </c>
      <c r="C94" s="8" t="s">
        <v>770</v>
      </c>
      <c r="D94" s="8"/>
      <c r="E94" s="6" t="s">
        <v>669</v>
      </c>
      <c r="F94" s="8" t="s">
        <v>771</v>
      </c>
      <c r="G94" s="8">
        <f t="shared" si="3"/>
        <v>57</v>
      </c>
      <c r="H94" s="2" t="s">
        <v>772</v>
      </c>
      <c r="I94" s="2">
        <f t="shared" si="4"/>
        <v>18</v>
      </c>
      <c r="J94" s="2" t="s">
        <v>773</v>
      </c>
      <c r="K94" s="2">
        <f t="shared" si="5"/>
        <v>39</v>
      </c>
      <c r="L94" s="2" t="s">
        <v>33</v>
      </c>
      <c r="M94" s="2" t="s">
        <v>34</v>
      </c>
      <c r="N94" s="25" t="s">
        <v>120</v>
      </c>
      <c r="O94" s="26" t="s">
        <v>774</v>
      </c>
      <c r="P94" s="8" t="s">
        <v>37</v>
      </c>
      <c r="Q94" s="8" t="s">
        <v>38</v>
      </c>
      <c r="R94" s="8" t="s">
        <v>38</v>
      </c>
      <c r="S94" s="24" t="s">
        <v>775</v>
      </c>
      <c r="T94" s="24" t="s">
        <v>776</v>
      </c>
      <c r="U94" s="24">
        <v>11976133</v>
      </c>
      <c r="V94" s="2"/>
      <c r="W94" s="2"/>
      <c r="X94" s="2"/>
      <c r="Y94" s="24" t="s">
        <v>777</v>
      </c>
      <c r="Z94" s="2" t="s">
        <v>42</v>
      </c>
      <c r="AA94" s="2"/>
    </row>
    <row r="95" spans="1:27" x14ac:dyDescent="0.2">
      <c r="A95" s="2" t="s">
        <v>778</v>
      </c>
      <c r="B95" s="24"/>
      <c r="C95" s="8" t="s">
        <v>779</v>
      </c>
      <c r="D95" s="8"/>
      <c r="E95" s="6" t="s">
        <v>669</v>
      </c>
      <c r="F95" s="8" t="s">
        <v>780</v>
      </c>
      <c r="G95" s="8">
        <f t="shared" si="3"/>
        <v>59</v>
      </c>
      <c r="H95" s="2" t="s">
        <v>781</v>
      </c>
      <c r="I95" s="2">
        <f t="shared" si="4"/>
        <v>24</v>
      </c>
      <c r="J95" s="2" t="s">
        <v>782</v>
      </c>
      <c r="K95" s="2">
        <f t="shared" si="5"/>
        <v>35</v>
      </c>
      <c r="L95" s="2" t="s">
        <v>33</v>
      </c>
      <c r="M95" s="2" t="s">
        <v>34</v>
      </c>
      <c r="N95" s="25"/>
      <c r="O95" s="26"/>
      <c r="P95" s="8" t="s">
        <v>37</v>
      </c>
      <c r="Q95" s="8" t="s">
        <v>38</v>
      </c>
      <c r="R95" s="8" t="s">
        <v>38</v>
      </c>
      <c r="S95" s="24"/>
      <c r="T95" s="24"/>
      <c r="U95" s="24"/>
      <c r="V95" s="2"/>
      <c r="W95" s="2"/>
      <c r="X95" s="2"/>
      <c r="Y95" s="24"/>
      <c r="Z95" s="2" t="s">
        <v>42</v>
      </c>
      <c r="AA95" s="2"/>
    </row>
    <row r="96" spans="1:27" x14ac:dyDescent="0.2">
      <c r="A96" s="2" t="s">
        <v>783</v>
      </c>
      <c r="B96" s="24" t="s">
        <v>784</v>
      </c>
      <c r="C96" s="8" t="s">
        <v>785</v>
      </c>
      <c r="D96" s="8"/>
      <c r="E96" s="6" t="s">
        <v>669</v>
      </c>
      <c r="F96" s="8" t="s">
        <v>786</v>
      </c>
      <c r="G96" s="8">
        <f t="shared" si="3"/>
        <v>57</v>
      </c>
      <c r="H96" s="2" t="s">
        <v>787</v>
      </c>
      <c r="I96" s="2">
        <f t="shared" si="4"/>
        <v>18</v>
      </c>
      <c r="J96" s="2" t="s">
        <v>773</v>
      </c>
      <c r="K96" s="2">
        <f t="shared" si="5"/>
        <v>39</v>
      </c>
      <c r="L96" s="2" t="s">
        <v>33</v>
      </c>
      <c r="M96" s="2" t="s">
        <v>34</v>
      </c>
      <c r="N96" s="25" t="s">
        <v>788</v>
      </c>
      <c r="O96" s="26" t="s">
        <v>789</v>
      </c>
      <c r="P96" s="8" t="s">
        <v>37</v>
      </c>
      <c r="Q96" s="8" t="s">
        <v>38</v>
      </c>
      <c r="R96" s="8" t="s">
        <v>38</v>
      </c>
      <c r="S96" s="24" t="s">
        <v>790</v>
      </c>
      <c r="T96" s="24" t="s">
        <v>791</v>
      </c>
      <c r="U96" s="24">
        <v>19501421</v>
      </c>
      <c r="V96" s="2"/>
      <c r="W96" s="2"/>
      <c r="X96" s="2"/>
      <c r="Y96" s="24" t="s">
        <v>792</v>
      </c>
      <c r="Z96" s="2" t="s">
        <v>42</v>
      </c>
      <c r="AA96" s="2"/>
    </row>
    <row r="97" spans="1:27" x14ac:dyDescent="0.2">
      <c r="A97" s="2" t="s">
        <v>793</v>
      </c>
      <c r="B97" s="24"/>
      <c r="C97" s="8" t="s">
        <v>794</v>
      </c>
      <c r="D97" s="8"/>
      <c r="E97" s="6" t="s">
        <v>669</v>
      </c>
      <c r="F97" s="8" t="s">
        <v>795</v>
      </c>
      <c r="G97" s="8">
        <f t="shared" si="3"/>
        <v>59</v>
      </c>
      <c r="H97" s="2" t="s">
        <v>781</v>
      </c>
      <c r="I97" s="2">
        <f t="shared" si="4"/>
        <v>24</v>
      </c>
      <c r="J97" s="2" t="s">
        <v>796</v>
      </c>
      <c r="K97" s="2">
        <f t="shared" si="5"/>
        <v>35</v>
      </c>
      <c r="L97" s="2" t="s">
        <v>33</v>
      </c>
      <c r="M97" s="2" t="s">
        <v>34</v>
      </c>
      <c r="N97" s="25"/>
      <c r="O97" s="26"/>
      <c r="P97" s="8" t="s">
        <v>37</v>
      </c>
      <c r="Q97" s="8" t="s">
        <v>38</v>
      </c>
      <c r="R97" s="8" t="s">
        <v>38</v>
      </c>
      <c r="S97" s="24"/>
      <c r="T97" s="24"/>
      <c r="U97" s="24"/>
      <c r="V97" s="2"/>
      <c r="W97" s="2"/>
      <c r="X97" s="2"/>
      <c r="Y97" s="24"/>
      <c r="Z97" s="2" t="s">
        <v>42</v>
      </c>
      <c r="AA97" s="2"/>
    </row>
    <row r="98" spans="1:27" x14ac:dyDescent="0.2">
      <c r="A98" s="2" t="s">
        <v>797</v>
      </c>
      <c r="B98" s="24" t="s">
        <v>798</v>
      </c>
      <c r="C98" s="8" t="s">
        <v>799</v>
      </c>
      <c r="D98" s="8"/>
      <c r="E98" s="6" t="s">
        <v>669</v>
      </c>
      <c r="F98" s="2" t="s">
        <v>800</v>
      </c>
      <c r="G98" s="8">
        <f t="shared" si="3"/>
        <v>79</v>
      </c>
      <c r="H98" s="2" t="s">
        <v>801</v>
      </c>
      <c r="I98" s="2">
        <f t="shared" si="4"/>
        <v>15</v>
      </c>
      <c r="J98" s="2" t="s">
        <v>802</v>
      </c>
      <c r="K98" s="2">
        <f t="shared" si="5"/>
        <v>64</v>
      </c>
      <c r="L98" s="2" t="s">
        <v>33</v>
      </c>
      <c r="M98" s="2" t="s">
        <v>34</v>
      </c>
      <c r="N98" s="25" t="s">
        <v>709</v>
      </c>
      <c r="O98" s="26" t="s">
        <v>803</v>
      </c>
      <c r="P98" s="8" t="s">
        <v>37</v>
      </c>
      <c r="Q98" s="8" t="s">
        <v>38</v>
      </c>
      <c r="R98" s="8" t="s">
        <v>38</v>
      </c>
      <c r="S98" s="24" t="s">
        <v>804</v>
      </c>
      <c r="T98" s="24" t="s">
        <v>805</v>
      </c>
      <c r="U98" s="24">
        <v>30610075</v>
      </c>
      <c r="V98" s="2"/>
      <c r="W98" s="2"/>
      <c r="X98" s="2"/>
      <c r="Y98" s="24" t="s">
        <v>806</v>
      </c>
      <c r="Z98" s="2" t="s">
        <v>42</v>
      </c>
      <c r="AA98" s="2"/>
    </row>
    <row r="99" spans="1:27" x14ac:dyDescent="0.2">
      <c r="A99" s="2" t="s">
        <v>807</v>
      </c>
      <c r="B99" s="24"/>
      <c r="C99" s="8" t="s">
        <v>808</v>
      </c>
      <c r="D99" s="8"/>
      <c r="E99" s="6" t="s">
        <v>669</v>
      </c>
      <c r="F99" s="8" t="s">
        <v>809</v>
      </c>
      <c r="G99" s="8">
        <f t="shared" si="3"/>
        <v>69</v>
      </c>
      <c r="H99" s="2" t="s">
        <v>707</v>
      </c>
      <c r="I99" s="2">
        <f t="shared" si="4"/>
        <v>16</v>
      </c>
      <c r="J99" s="2" t="s">
        <v>810</v>
      </c>
      <c r="K99" s="2">
        <f t="shared" si="5"/>
        <v>53</v>
      </c>
      <c r="L99" s="2" t="s">
        <v>33</v>
      </c>
      <c r="M99" s="2" t="s">
        <v>34</v>
      </c>
      <c r="N99" s="25"/>
      <c r="O99" s="26"/>
      <c r="P99" s="8" t="s">
        <v>37</v>
      </c>
      <c r="Q99" s="8" t="s">
        <v>38</v>
      </c>
      <c r="R99" s="8" t="s">
        <v>38</v>
      </c>
      <c r="S99" s="24"/>
      <c r="T99" s="24"/>
      <c r="U99" s="24"/>
      <c r="V99" s="2"/>
      <c r="W99" s="2"/>
      <c r="X99" s="2"/>
      <c r="Y99" s="24"/>
      <c r="Z99" s="2" t="s">
        <v>42</v>
      </c>
      <c r="AA99" s="2"/>
    </row>
    <row r="100" spans="1:27" x14ac:dyDescent="0.2">
      <c r="A100" s="2" t="s">
        <v>811</v>
      </c>
      <c r="B100" s="24" t="s">
        <v>812</v>
      </c>
      <c r="C100" s="8" t="s">
        <v>813</v>
      </c>
      <c r="D100" s="8"/>
      <c r="E100" s="6" t="s">
        <v>669</v>
      </c>
      <c r="F100" s="2" t="s">
        <v>814</v>
      </c>
      <c r="G100" s="8">
        <f t="shared" si="3"/>
        <v>75</v>
      </c>
      <c r="H100" s="2" t="s">
        <v>815</v>
      </c>
      <c r="I100" s="2">
        <f t="shared" si="4"/>
        <v>18</v>
      </c>
      <c r="J100" s="2" t="s">
        <v>816</v>
      </c>
      <c r="K100" s="2">
        <f t="shared" si="5"/>
        <v>57</v>
      </c>
      <c r="L100" s="2" t="s">
        <v>33</v>
      </c>
      <c r="M100" s="2" t="s">
        <v>34</v>
      </c>
      <c r="N100" s="25" t="s">
        <v>709</v>
      </c>
      <c r="O100" s="26" t="s">
        <v>803</v>
      </c>
      <c r="P100" s="8" t="s">
        <v>37</v>
      </c>
      <c r="Q100" s="8" t="s">
        <v>38</v>
      </c>
      <c r="R100" s="8" t="s">
        <v>38</v>
      </c>
      <c r="S100" s="24" t="s">
        <v>817</v>
      </c>
      <c r="T100" s="24" t="s">
        <v>805</v>
      </c>
      <c r="U100" s="24">
        <v>30610075</v>
      </c>
      <c r="V100" s="2"/>
      <c r="W100" s="2"/>
      <c r="X100" s="2"/>
      <c r="Y100" s="24" t="s">
        <v>806</v>
      </c>
      <c r="Z100" s="2" t="s">
        <v>42</v>
      </c>
      <c r="AA100" s="2"/>
    </row>
    <row r="101" spans="1:27" x14ac:dyDescent="0.2">
      <c r="A101" s="2" t="s">
        <v>818</v>
      </c>
      <c r="B101" s="24"/>
      <c r="C101" s="8" t="s">
        <v>819</v>
      </c>
      <c r="D101" s="8" t="s">
        <v>820</v>
      </c>
      <c r="E101" s="6" t="s">
        <v>669</v>
      </c>
      <c r="F101" s="8" t="s">
        <v>821</v>
      </c>
      <c r="G101" s="8">
        <f t="shared" si="3"/>
        <v>65</v>
      </c>
      <c r="H101" s="2" t="s">
        <v>717</v>
      </c>
      <c r="I101" s="2">
        <f t="shared" si="4"/>
        <v>17</v>
      </c>
      <c r="J101" s="2" t="s">
        <v>822</v>
      </c>
      <c r="K101" s="2">
        <f t="shared" si="5"/>
        <v>48</v>
      </c>
      <c r="L101" s="2" t="s">
        <v>33</v>
      </c>
      <c r="M101" s="2" t="s">
        <v>34</v>
      </c>
      <c r="N101" s="25"/>
      <c r="O101" s="26"/>
      <c r="P101" s="8" t="s">
        <v>37</v>
      </c>
      <c r="Q101" s="8" t="s">
        <v>38</v>
      </c>
      <c r="R101" s="8" t="s">
        <v>38</v>
      </c>
      <c r="S101" s="24"/>
      <c r="T101" s="24"/>
      <c r="U101" s="24"/>
      <c r="V101" s="2"/>
      <c r="W101" s="2"/>
      <c r="X101" s="2"/>
      <c r="Y101" s="24"/>
      <c r="Z101" s="2" t="s">
        <v>42</v>
      </c>
      <c r="AA101" s="2"/>
    </row>
    <row r="102" spans="1:27" x14ac:dyDescent="0.2">
      <c r="A102" s="2" t="s">
        <v>823</v>
      </c>
      <c r="B102" s="24" t="s">
        <v>824</v>
      </c>
      <c r="C102" s="8" t="s">
        <v>825</v>
      </c>
      <c r="D102" s="8"/>
      <c r="E102" s="6" t="s">
        <v>669</v>
      </c>
      <c r="F102" s="8" t="s">
        <v>826</v>
      </c>
      <c r="G102" s="8">
        <f t="shared" si="3"/>
        <v>69</v>
      </c>
      <c r="H102" s="2" t="s">
        <v>827</v>
      </c>
      <c r="I102" s="2">
        <f t="shared" si="4"/>
        <v>18</v>
      </c>
      <c r="J102" s="2" t="s">
        <v>828</v>
      </c>
      <c r="K102" s="2">
        <f t="shared" si="5"/>
        <v>51</v>
      </c>
      <c r="L102" s="2" t="s">
        <v>33</v>
      </c>
      <c r="M102" s="2" t="s">
        <v>34</v>
      </c>
      <c r="N102" s="25" t="s">
        <v>334</v>
      </c>
      <c r="O102" s="26">
        <v>5</v>
      </c>
      <c r="P102" s="8" t="s">
        <v>37</v>
      </c>
      <c r="Q102" s="8" t="s">
        <v>38</v>
      </c>
      <c r="R102" s="8" t="s">
        <v>38</v>
      </c>
      <c r="S102" s="24" t="s">
        <v>375</v>
      </c>
      <c r="T102" s="24" t="s">
        <v>376</v>
      </c>
      <c r="U102" s="24">
        <v>14660366</v>
      </c>
      <c r="V102" s="2"/>
      <c r="W102" s="2"/>
      <c r="X102" s="2"/>
      <c r="Y102" s="24" t="s">
        <v>377</v>
      </c>
      <c r="Z102" s="2" t="s">
        <v>42</v>
      </c>
      <c r="AA102" s="2"/>
    </row>
    <row r="103" spans="1:27" x14ac:dyDescent="0.2">
      <c r="A103" s="2" t="s">
        <v>829</v>
      </c>
      <c r="B103" s="24"/>
      <c r="C103" s="8" t="s">
        <v>830</v>
      </c>
      <c r="D103" s="8"/>
      <c r="E103" s="6" t="s">
        <v>669</v>
      </c>
      <c r="F103" s="8" t="s">
        <v>831</v>
      </c>
      <c r="G103" s="8">
        <f t="shared" si="3"/>
        <v>63</v>
      </c>
      <c r="H103" s="2" t="s">
        <v>832</v>
      </c>
      <c r="I103" s="2">
        <f t="shared" si="4"/>
        <v>20</v>
      </c>
      <c r="J103" s="2" t="s">
        <v>833</v>
      </c>
      <c r="K103" s="2">
        <f t="shared" si="5"/>
        <v>43</v>
      </c>
      <c r="L103" s="2" t="s">
        <v>33</v>
      </c>
      <c r="M103" s="2" t="s">
        <v>34</v>
      </c>
      <c r="N103" s="25"/>
      <c r="O103" s="26"/>
      <c r="P103" s="8" t="s">
        <v>37</v>
      </c>
      <c r="Q103" s="8" t="s">
        <v>38</v>
      </c>
      <c r="R103" s="8" t="s">
        <v>38</v>
      </c>
      <c r="S103" s="24"/>
      <c r="T103" s="24"/>
      <c r="U103" s="24"/>
      <c r="V103" s="2"/>
      <c r="W103" s="2"/>
      <c r="X103" s="2"/>
      <c r="Y103" s="24"/>
      <c r="Z103" s="2" t="s">
        <v>42</v>
      </c>
      <c r="AA103" s="2"/>
    </row>
    <row r="104" spans="1:27" x14ac:dyDescent="0.2">
      <c r="A104" s="2" t="s">
        <v>834</v>
      </c>
      <c r="B104" s="24" t="s">
        <v>835</v>
      </c>
      <c r="C104" s="8" t="s">
        <v>836</v>
      </c>
      <c r="D104" s="8"/>
      <c r="E104" s="6" t="s">
        <v>669</v>
      </c>
      <c r="F104" s="8" t="s">
        <v>837</v>
      </c>
      <c r="G104" s="2">
        <f t="shared" si="3"/>
        <v>67</v>
      </c>
      <c r="H104" s="2" t="s">
        <v>838</v>
      </c>
      <c r="I104" s="2">
        <f t="shared" si="4"/>
        <v>23</v>
      </c>
      <c r="J104" s="2" t="s">
        <v>839</v>
      </c>
      <c r="K104" s="2">
        <f t="shared" si="5"/>
        <v>44</v>
      </c>
      <c r="L104" s="2" t="s">
        <v>33</v>
      </c>
      <c r="M104" s="2" t="s">
        <v>34</v>
      </c>
      <c r="N104" s="25" t="s">
        <v>840</v>
      </c>
      <c r="O104" s="26" t="s">
        <v>841</v>
      </c>
      <c r="P104" s="8" t="s">
        <v>37</v>
      </c>
      <c r="Q104" s="8" t="s">
        <v>38</v>
      </c>
      <c r="R104" s="8" t="s">
        <v>38</v>
      </c>
      <c r="S104" s="27" t="s">
        <v>102</v>
      </c>
      <c r="T104" s="24" t="s">
        <v>842</v>
      </c>
      <c r="U104" s="24">
        <v>11133423</v>
      </c>
      <c r="V104" s="2"/>
      <c r="W104" s="2"/>
      <c r="X104" s="2"/>
      <c r="Y104" s="24" t="s">
        <v>843</v>
      </c>
      <c r="Z104" s="2" t="s">
        <v>42</v>
      </c>
      <c r="AA104" s="2"/>
    </row>
    <row r="105" spans="1:27" x14ac:dyDescent="0.2">
      <c r="A105" s="2" t="s">
        <v>844</v>
      </c>
      <c r="B105" s="24"/>
      <c r="C105" s="8" t="s">
        <v>845</v>
      </c>
      <c r="D105" s="8"/>
      <c r="E105" s="6" t="s">
        <v>669</v>
      </c>
      <c r="F105" s="2" t="s">
        <v>846</v>
      </c>
      <c r="G105" s="2">
        <f t="shared" si="3"/>
        <v>71</v>
      </c>
      <c r="H105" s="2" t="s">
        <v>847</v>
      </c>
      <c r="I105" s="2">
        <f t="shared" si="4"/>
        <v>22</v>
      </c>
      <c r="J105" s="2" t="s">
        <v>848</v>
      </c>
      <c r="K105" s="2">
        <f t="shared" si="5"/>
        <v>49</v>
      </c>
      <c r="L105" s="2" t="s">
        <v>33</v>
      </c>
      <c r="M105" s="2" t="s">
        <v>34</v>
      </c>
      <c r="N105" s="25"/>
      <c r="O105" s="26"/>
      <c r="P105" s="8" t="s">
        <v>37</v>
      </c>
      <c r="Q105" s="8" t="s">
        <v>38</v>
      </c>
      <c r="R105" s="8" t="s">
        <v>38</v>
      </c>
      <c r="S105" s="24"/>
      <c r="T105" s="24"/>
      <c r="U105" s="24"/>
      <c r="V105" s="2"/>
      <c r="W105" s="2"/>
      <c r="X105" s="2"/>
      <c r="Y105" s="24"/>
      <c r="Z105" s="2" t="s">
        <v>42</v>
      </c>
      <c r="AA105" s="2"/>
    </row>
    <row r="106" spans="1:27" x14ac:dyDescent="0.2">
      <c r="A106" s="2" t="s">
        <v>849</v>
      </c>
      <c r="B106" s="24" t="s">
        <v>850</v>
      </c>
      <c r="C106" s="8" t="s">
        <v>851</v>
      </c>
      <c r="D106" s="8"/>
      <c r="E106" s="6" t="s">
        <v>669</v>
      </c>
      <c r="F106" s="8" t="s">
        <v>852</v>
      </c>
      <c r="G106" s="8">
        <f t="shared" si="3"/>
        <v>54</v>
      </c>
      <c r="H106" s="2" t="s">
        <v>853</v>
      </c>
      <c r="I106" s="2">
        <f t="shared" si="4"/>
        <v>15</v>
      </c>
      <c r="J106" s="2" t="s">
        <v>854</v>
      </c>
      <c r="K106" s="2">
        <f t="shared" si="5"/>
        <v>39</v>
      </c>
      <c r="L106" s="2" t="s">
        <v>33</v>
      </c>
      <c r="M106" s="2" t="s">
        <v>34</v>
      </c>
      <c r="N106" s="25" t="s">
        <v>511</v>
      </c>
      <c r="O106" s="26"/>
      <c r="P106" s="8" t="s">
        <v>37</v>
      </c>
      <c r="Q106" s="8" t="s">
        <v>38</v>
      </c>
      <c r="R106" s="8" t="s">
        <v>38</v>
      </c>
      <c r="S106" s="24" t="s">
        <v>855</v>
      </c>
      <c r="T106" s="24" t="s">
        <v>856</v>
      </c>
      <c r="U106" s="24">
        <v>20038710</v>
      </c>
      <c r="V106" s="2"/>
      <c r="W106" s="2" t="s">
        <v>857</v>
      </c>
      <c r="X106" s="2"/>
      <c r="Y106" s="24" t="s">
        <v>858</v>
      </c>
      <c r="Z106" s="2" t="s">
        <v>42</v>
      </c>
      <c r="AA106" s="2"/>
    </row>
    <row r="107" spans="1:27" x14ac:dyDescent="0.2">
      <c r="A107" s="2" t="s">
        <v>859</v>
      </c>
      <c r="B107" s="24"/>
      <c r="C107" s="8" t="s">
        <v>860</v>
      </c>
      <c r="D107" s="8"/>
      <c r="E107" s="6" t="s">
        <v>669</v>
      </c>
      <c r="F107" s="8" t="s">
        <v>861</v>
      </c>
      <c r="G107" s="8">
        <f t="shared" si="3"/>
        <v>60</v>
      </c>
      <c r="H107" s="2" t="s">
        <v>862</v>
      </c>
      <c r="I107" s="2">
        <f t="shared" si="4"/>
        <v>25</v>
      </c>
      <c r="J107" s="2" t="s">
        <v>863</v>
      </c>
      <c r="K107" s="2">
        <f t="shared" si="5"/>
        <v>35</v>
      </c>
      <c r="L107" s="2" t="s">
        <v>33</v>
      </c>
      <c r="M107" s="2" t="s">
        <v>34</v>
      </c>
      <c r="N107" s="25"/>
      <c r="O107" s="26"/>
      <c r="P107" s="8" t="s">
        <v>37</v>
      </c>
      <c r="Q107" s="8" t="s">
        <v>38</v>
      </c>
      <c r="R107" s="8" t="s">
        <v>38</v>
      </c>
      <c r="S107" s="24"/>
      <c r="T107" s="24"/>
      <c r="U107" s="24"/>
      <c r="V107" s="2"/>
      <c r="W107" s="2" t="s">
        <v>864</v>
      </c>
      <c r="X107" s="2"/>
      <c r="Y107" s="24"/>
      <c r="Z107" s="2" t="s">
        <v>42</v>
      </c>
      <c r="AA107" s="2"/>
    </row>
    <row r="108" spans="1:27" x14ac:dyDescent="0.2">
      <c r="A108" s="2" t="s">
        <v>865</v>
      </c>
      <c r="B108" s="24" t="s">
        <v>866</v>
      </c>
      <c r="C108" s="8" t="s">
        <v>867</v>
      </c>
      <c r="D108" s="8"/>
      <c r="E108" s="6" t="s">
        <v>669</v>
      </c>
      <c r="F108" s="8" t="s">
        <v>868</v>
      </c>
      <c r="G108" s="8">
        <f t="shared" si="3"/>
        <v>54</v>
      </c>
      <c r="H108" s="2" t="s">
        <v>853</v>
      </c>
      <c r="I108" s="2">
        <f t="shared" si="4"/>
        <v>15</v>
      </c>
      <c r="J108" s="2" t="s">
        <v>869</v>
      </c>
      <c r="K108" s="2">
        <f t="shared" si="5"/>
        <v>39</v>
      </c>
      <c r="L108" s="2" t="s">
        <v>33</v>
      </c>
      <c r="M108" s="2" t="s">
        <v>34</v>
      </c>
      <c r="N108" s="25" t="s">
        <v>511</v>
      </c>
      <c r="O108" s="26" t="s">
        <v>870</v>
      </c>
      <c r="P108" s="8" t="s">
        <v>37</v>
      </c>
      <c r="Q108" s="8" t="s">
        <v>38</v>
      </c>
      <c r="R108" s="8" t="s">
        <v>38</v>
      </c>
      <c r="S108" s="24" t="s">
        <v>871</v>
      </c>
      <c r="T108" s="24" t="s">
        <v>872</v>
      </c>
      <c r="U108" s="24">
        <v>16672481</v>
      </c>
      <c r="V108" s="2"/>
      <c r="W108" s="2" t="s">
        <v>873</v>
      </c>
      <c r="X108" s="2"/>
      <c r="Y108" s="24" t="s">
        <v>874</v>
      </c>
      <c r="Z108" s="2" t="s">
        <v>42</v>
      </c>
      <c r="AA108" s="2"/>
    </row>
    <row r="109" spans="1:27" x14ac:dyDescent="0.2">
      <c r="A109" s="2" t="s">
        <v>875</v>
      </c>
      <c r="B109" s="24"/>
      <c r="C109" s="8" t="s">
        <v>876</v>
      </c>
      <c r="D109" s="8"/>
      <c r="E109" s="6" t="s">
        <v>669</v>
      </c>
      <c r="F109" s="8" t="s">
        <v>877</v>
      </c>
      <c r="G109" s="8">
        <f t="shared" si="3"/>
        <v>61</v>
      </c>
      <c r="H109" s="2" t="s">
        <v>878</v>
      </c>
      <c r="I109" s="2">
        <f t="shared" si="4"/>
        <v>26</v>
      </c>
      <c r="J109" s="2" t="s">
        <v>879</v>
      </c>
      <c r="K109" s="2">
        <f t="shared" si="5"/>
        <v>35</v>
      </c>
      <c r="L109" s="2" t="s">
        <v>33</v>
      </c>
      <c r="M109" s="2" t="s">
        <v>34</v>
      </c>
      <c r="N109" s="25"/>
      <c r="O109" s="26"/>
      <c r="P109" s="8" t="s">
        <v>37</v>
      </c>
      <c r="Q109" s="8" t="s">
        <v>38</v>
      </c>
      <c r="R109" s="8" t="s">
        <v>38</v>
      </c>
      <c r="S109" s="24"/>
      <c r="T109" s="24"/>
      <c r="U109" s="24"/>
      <c r="V109" s="2"/>
      <c r="W109" s="2" t="s">
        <v>880</v>
      </c>
      <c r="X109" s="2"/>
      <c r="Y109" s="24"/>
      <c r="Z109" s="2" t="s">
        <v>42</v>
      </c>
      <c r="AA109" s="2"/>
    </row>
    <row r="110" spans="1:27" x14ac:dyDescent="0.2">
      <c r="A110" s="2" t="s">
        <v>881</v>
      </c>
      <c r="B110" s="24" t="s">
        <v>882</v>
      </c>
      <c r="C110" s="8" t="s">
        <v>883</v>
      </c>
      <c r="D110" s="8"/>
      <c r="E110" s="6" t="s">
        <v>669</v>
      </c>
      <c r="F110" s="8" t="s">
        <v>884</v>
      </c>
      <c r="G110" s="8">
        <f t="shared" si="3"/>
        <v>56</v>
      </c>
      <c r="H110" s="2" t="s">
        <v>885</v>
      </c>
      <c r="I110" s="2">
        <f t="shared" si="4"/>
        <v>23</v>
      </c>
      <c r="J110" s="2" t="s">
        <v>886</v>
      </c>
      <c r="K110" s="2">
        <f t="shared" si="5"/>
        <v>33</v>
      </c>
      <c r="L110" s="2" t="s">
        <v>33</v>
      </c>
      <c r="M110" s="2" t="s">
        <v>34</v>
      </c>
      <c r="N110" s="25" t="s">
        <v>887</v>
      </c>
      <c r="O110" s="26" t="s">
        <v>888</v>
      </c>
      <c r="P110" s="8" t="s">
        <v>37</v>
      </c>
      <c r="Q110" s="8" t="s">
        <v>38</v>
      </c>
      <c r="R110" s="8" t="s">
        <v>38</v>
      </c>
      <c r="S110" s="24" t="s">
        <v>889</v>
      </c>
      <c r="T110" s="24" t="s">
        <v>890</v>
      </c>
      <c r="U110" s="24">
        <v>10754241</v>
      </c>
      <c r="V110" s="2"/>
      <c r="W110" s="2"/>
      <c r="X110" s="2"/>
      <c r="Y110" s="24" t="s">
        <v>891</v>
      </c>
      <c r="Z110" s="2" t="s">
        <v>42</v>
      </c>
      <c r="AA110" s="2"/>
    </row>
    <row r="111" spans="1:27" x14ac:dyDescent="0.2">
      <c r="A111" s="2" t="s">
        <v>892</v>
      </c>
      <c r="B111" s="24"/>
      <c r="C111" s="8" t="s">
        <v>893</v>
      </c>
      <c r="D111" s="8"/>
      <c r="E111" s="6" t="s">
        <v>669</v>
      </c>
      <c r="F111" s="8" t="s">
        <v>894</v>
      </c>
      <c r="G111" s="8">
        <f t="shared" si="3"/>
        <v>54</v>
      </c>
      <c r="H111" s="2" t="s">
        <v>895</v>
      </c>
      <c r="I111" s="2">
        <f t="shared" si="4"/>
        <v>21</v>
      </c>
      <c r="J111" s="2" t="s">
        <v>896</v>
      </c>
      <c r="K111" s="2">
        <f t="shared" si="5"/>
        <v>33</v>
      </c>
      <c r="L111" s="2" t="s">
        <v>33</v>
      </c>
      <c r="M111" s="2" t="s">
        <v>34</v>
      </c>
      <c r="N111" s="25"/>
      <c r="O111" s="26"/>
      <c r="P111" s="8" t="s">
        <v>37</v>
      </c>
      <c r="Q111" s="8" t="s">
        <v>38</v>
      </c>
      <c r="R111" s="8" t="s">
        <v>38</v>
      </c>
      <c r="S111" s="24"/>
      <c r="T111" s="24"/>
      <c r="U111" s="24"/>
      <c r="V111" s="2"/>
      <c r="W111" s="2"/>
      <c r="X111" s="2"/>
      <c r="Y111" s="24"/>
      <c r="Z111" s="2" t="s">
        <v>42</v>
      </c>
      <c r="AA111" s="2"/>
    </row>
    <row r="112" spans="1:27" x14ac:dyDescent="0.2">
      <c r="A112" s="2" t="s">
        <v>897</v>
      </c>
      <c r="B112" s="24" t="s">
        <v>898</v>
      </c>
      <c r="C112" s="8" t="s">
        <v>899</v>
      </c>
      <c r="D112" s="8"/>
      <c r="E112" s="6" t="s">
        <v>669</v>
      </c>
      <c r="F112" s="8" t="s">
        <v>900</v>
      </c>
      <c r="G112" s="8">
        <f t="shared" si="3"/>
        <v>47</v>
      </c>
      <c r="H112" s="2" t="s">
        <v>901</v>
      </c>
      <c r="I112" s="2">
        <f t="shared" si="4"/>
        <v>18</v>
      </c>
      <c r="J112" s="2" t="s">
        <v>902</v>
      </c>
      <c r="K112" s="2">
        <f t="shared" si="5"/>
        <v>29</v>
      </c>
      <c r="L112" s="2" t="s">
        <v>33</v>
      </c>
      <c r="M112" s="2" t="s">
        <v>34</v>
      </c>
      <c r="N112" s="25" t="s">
        <v>328</v>
      </c>
      <c r="O112" s="26" t="s">
        <v>903</v>
      </c>
      <c r="P112" s="8" t="s">
        <v>37</v>
      </c>
      <c r="Q112" s="8" t="s">
        <v>38</v>
      </c>
      <c r="R112" s="8" t="s">
        <v>38</v>
      </c>
      <c r="S112" s="24" t="s">
        <v>904</v>
      </c>
      <c r="T112" s="24" t="s">
        <v>905</v>
      </c>
      <c r="U112" s="24">
        <v>12514019</v>
      </c>
      <c r="V112" s="2"/>
      <c r="W112" s="2" t="s">
        <v>906</v>
      </c>
      <c r="X112" s="2"/>
      <c r="Y112" s="24" t="s">
        <v>907</v>
      </c>
      <c r="Z112" s="2" t="s">
        <v>42</v>
      </c>
      <c r="AA112" s="2"/>
    </row>
    <row r="113" spans="1:27" x14ac:dyDescent="0.2">
      <c r="A113" s="2" t="s">
        <v>908</v>
      </c>
      <c r="B113" s="24"/>
      <c r="C113" s="8" t="s">
        <v>909</v>
      </c>
      <c r="D113" s="8"/>
      <c r="E113" s="6" t="s">
        <v>669</v>
      </c>
      <c r="F113" s="8" t="s">
        <v>910</v>
      </c>
      <c r="G113" s="8">
        <f t="shared" si="3"/>
        <v>55</v>
      </c>
      <c r="H113" s="2" t="s">
        <v>911</v>
      </c>
      <c r="I113" s="2">
        <f t="shared" si="4"/>
        <v>21</v>
      </c>
      <c r="J113" s="2" t="s">
        <v>912</v>
      </c>
      <c r="K113" s="2">
        <f t="shared" si="5"/>
        <v>34</v>
      </c>
      <c r="L113" s="2" t="s">
        <v>33</v>
      </c>
      <c r="M113" s="2" t="s">
        <v>34</v>
      </c>
      <c r="N113" s="25"/>
      <c r="O113" s="26"/>
      <c r="P113" s="8" t="s">
        <v>37</v>
      </c>
      <c r="Q113" s="8" t="s">
        <v>38</v>
      </c>
      <c r="R113" s="8" t="s">
        <v>38</v>
      </c>
      <c r="S113" s="24"/>
      <c r="T113" s="24"/>
      <c r="U113" s="24"/>
      <c r="V113" s="2"/>
      <c r="W113" s="2" t="s">
        <v>913</v>
      </c>
      <c r="X113" s="2"/>
      <c r="Y113" s="24"/>
      <c r="Z113" s="2" t="s">
        <v>42</v>
      </c>
      <c r="AA113" s="2"/>
    </row>
    <row r="114" spans="1:27" x14ac:dyDescent="0.2">
      <c r="A114" s="2" t="s">
        <v>914</v>
      </c>
      <c r="B114" s="24" t="s">
        <v>915</v>
      </c>
      <c r="C114" s="8" t="s">
        <v>916</v>
      </c>
      <c r="D114" s="8" t="s">
        <v>917</v>
      </c>
      <c r="E114" s="6" t="s">
        <v>669</v>
      </c>
      <c r="F114" s="2" t="s">
        <v>918</v>
      </c>
      <c r="G114" s="8">
        <f t="shared" ref="G114:G177" si="6">LEN(F114)</f>
        <v>73</v>
      </c>
      <c r="H114" s="2" t="s">
        <v>724</v>
      </c>
      <c r="I114" s="2">
        <f t="shared" si="4"/>
        <v>18</v>
      </c>
      <c r="J114" s="2" t="s">
        <v>725</v>
      </c>
      <c r="K114" s="2">
        <f t="shared" si="5"/>
        <v>55</v>
      </c>
      <c r="L114" s="2" t="s">
        <v>33</v>
      </c>
      <c r="M114" s="2" t="s">
        <v>34</v>
      </c>
      <c r="N114" s="25" t="s">
        <v>328</v>
      </c>
      <c r="O114" s="26" t="s">
        <v>919</v>
      </c>
      <c r="P114" s="8" t="s">
        <v>37</v>
      </c>
      <c r="Q114" s="8" t="s">
        <v>38</v>
      </c>
      <c r="R114" s="8" t="s">
        <v>38</v>
      </c>
      <c r="S114" s="27" t="s">
        <v>102</v>
      </c>
      <c r="T114" s="24" t="s">
        <v>920</v>
      </c>
      <c r="U114" s="24">
        <v>10389253</v>
      </c>
      <c r="V114" s="2"/>
      <c r="W114" s="2"/>
      <c r="X114" s="2"/>
      <c r="Y114" s="24" t="s">
        <v>921</v>
      </c>
      <c r="Z114" s="2" t="s">
        <v>42</v>
      </c>
      <c r="AA114" s="2"/>
    </row>
    <row r="115" spans="1:27" x14ac:dyDescent="0.2">
      <c r="A115" s="2" t="s">
        <v>922</v>
      </c>
      <c r="B115" s="24"/>
      <c r="C115" s="8" t="s">
        <v>923</v>
      </c>
      <c r="D115" s="8" t="s">
        <v>924</v>
      </c>
      <c r="E115" s="6" t="s">
        <v>669</v>
      </c>
      <c r="F115" s="2" t="s">
        <v>925</v>
      </c>
      <c r="G115" s="8">
        <f t="shared" si="6"/>
        <v>69</v>
      </c>
      <c r="H115" s="2" t="s">
        <v>735</v>
      </c>
      <c r="I115" s="2">
        <f t="shared" si="4"/>
        <v>16</v>
      </c>
      <c r="J115" s="2" t="s">
        <v>736</v>
      </c>
      <c r="K115" s="2">
        <f t="shared" si="5"/>
        <v>53</v>
      </c>
      <c r="L115" s="2" t="s">
        <v>33</v>
      </c>
      <c r="M115" s="2" t="s">
        <v>34</v>
      </c>
      <c r="N115" s="25"/>
      <c r="O115" s="26"/>
      <c r="P115" s="8" t="s">
        <v>37</v>
      </c>
      <c r="Q115" s="8" t="s">
        <v>38</v>
      </c>
      <c r="R115" s="8" t="s">
        <v>38</v>
      </c>
      <c r="S115" s="24"/>
      <c r="T115" s="24"/>
      <c r="U115" s="24"/>
      <c r="V115" s="2"/>
      <c r="W115" s="2"/>
      <c r="X115" s="2"/>
      <c r="Y115" s="24"/>
      <c r="Z115" s="2" t="s">
        <v>42</v>
      </c>
      <c r="AA115" s="2"/>
    </row>
    <row r="116" spans="1:27" x14ac:dyDescent="0.2">
      <c r="A116" s="2" t="s">
        <v>926</v>
      </c>
      <c r="B116" s="24" t="s">
        <v>927</v>
      </c>
      <c r="C116" s="8" t="s">
        <v>928</v>
      </c>
      <c r="D116" s="8"/>
      <c r="E116" s="6" t="s">
        <v>669</v>
      </c>
      <c r="F116" s="8" t="s">
        <v>929</v>
      </c>
      <c r="G116" s="8">
        <f t="shared" si="6"/>
        <v>55</v>
      </c>
      <c r="H116" s="2" t="s">
        <v>930</v>
      </c>
      <c r="I116" s="2">
        <f t="shared" si="4"/>
        <v>28</v>
      </c>
      <c r="J116" s="2" t="s">
        <v>931</v>
      </c>
      <c r="K116" s="2">
        <f t="shared" si="5"/>
        <v>27</v>
      </c>
      <c r="L116" s="2" t="s">
        <v>33</v>
      </c>
      <c r="M116" s="2" t="s">
        <v>34</v>
      </c>
      <c r="N116" s="25" t="s">
        <v>328</v>
      </c>
      <c r="O116" s="26" t="s">
        <v>932</v>
      </c>
      <c r="P116" s="8" t="s">
        <v>37</v>
      </c>
      <c r="Q116" s="8" t="s">
        <v>38</v>
      </c>
      <c r="R116" s="8" t="s">
        <v>38</v>
      </c>
      <c r="S116" s="24" t="s">
        <v>933</v>
      </c>
      <c r="T116" s="24" t="s">
        <v>934</v>
      </c>
      <c r="U116" s="24">
        <v>9572965</v>
      </c>
      <c r="V116" s="2"/>
      <c r="W116" s="2"/>
      <c r="X116" s="2"/>
      <c r="Y116" s="24" t="s">
        <v>935</v>
      </c>
      <c r="Z116" s="2" t="s">
        <v>42</v>
      </c>
      <c r="AA116" s="2"/>
    </row>
    <row r="117" spans="1:27" x14ac:dyDescent="0.2">
      <c r="A117" s="2" t="s">
        <v>936</v>
      </c>
      <c r="B117" s="24"/>
      <c r="C117" s="8" t="s">
        <v>937</v>
      </c>
      <c r="D117" s="8"/>
      <c r="E117" s="6" t="s">
        <v>669</v>
      </c>
      <c r="F117" s="8" t="s">
        <v>938</v>
      </c>
      <c r="G117" s="8">
        <f t="shared" si="6"/>
        <v>47</v>
      </c>
      <c r="H117" s="2" t="s">
        <v>939</v>
      </c>
      <c r="I117" s="2">
        <f t="shared" si="4"/>
        <v>21</v>
      </c>
      <c r="J117" s="2" t="s">
        <v>940</v>
      </c>
      <c r="K117" s="2">
        <f t="shared" si="5"/>
        <v>26</v>
      </c>
      <c r="L117" s="2" t="s">
        <v>33</v>
      </c>
      <c r="M117" s="2" t="s">
        <v>34</v>
      </c>
      <c r="N117" s="25"/>
      <c r="O117" s="26"/>
      <c r="P117" s="8" t="s">
        <v>37</v>
      </c>
      <c r="Q117" s="8" t="s">
        <v>38</v>
      </c>
      <c r="R117" s="8" t="s">
        <v>38</v>
      </c>
      <c r="S117" s="24"/>
      <c r="T117" s="24"/>
      <c r="U117" s="24"/>
      <c r="V117" s="2"/>
      <c r="W117" s="2"/>
      <c r="X117" s="2"/>
      <c r="Y117" s="24"/>
      <c r="Z117" s="2" t="s">
        <v>42</v>
      </c>
      <c r="AA117" s="2"/>
    </row>
    <row r="118" spans="1:27" x14ac:dyDescent="0.2">
      <c r="A118" s="2" t="s">
        <v>941</v>
      </c>
      <c r="B118" s="24" t="s">
        <v>942</v>
      </c>
      <c r="C118" s="8" t="s">
        <v>943</v>
      </c>
      <c r="D118" s="8"/>
      <c r="E118" s="6" t="s">
        <v>669</v>
      </c>
      <c r="F118" s="8" t="s">
        <v>944</v>
      </c>
      <c r="G118" s="8">
        <f t="shared" si="6"/>
        <v>61</v>
      </c>
      <c r="H118" s="2" t="s">
        <v>945</v>
      </c>
      <c r="I118" s="2">
        <f t="shared" si="4"/>
        <v>23</v>
      </c>
      <c r="J118" s="2" t="s">
        <v>946</v>
      </c>
      <c r="K118" s="2">
        <f t="shared" si="5"/>
        <v>38</v>
      </c>
      <c r="L118" s="2" t="s">
        <v>33</v>
      </c>
      <c r="M118" s="2" t="s">
        <v>34</v>
      </c>
      <c r="N118" s="25" t="s">
        <v>328</v>
      </c>
      <c r="O118" s="26" t="s">
        <v>947</v>
      </c>
      <c r="P118" s="8" t="s">
        <v>37</v>
      </c>
      <c r="Q118" s="8" t="s">
        <v>38</v>
      </c>
      <c r="R118" s="8" t="s">
        <v>38</v>
      </c>
      <c r="S118" s="27" t="s">
        <v>102</v>
      </c>
      <c r="T118" s="24" t="s">
        <v>948</v>
      </c>
      <c r="U118" s="24">
        <v>27538436</v>
      </c>
      <c r="V118" s="2"/>
      <c r="W118" s="2"/>
      <c r="X118" s="2"/>
      <c r="Y118" s="24" t="s">
        <v>949</v>
      </c>
      <c r="Z118" s="2" t="s">
        <v>42</v>
      </c>
      <c r="AA118" s="2"/>
    </row>
    <row r="119" spans="1:27" x14ac:dyDescent="0.2">
      <c r="A119" s="2" t="s">
        <v>950</v>
      </c>
      <c r="B119" s="24"/>
      <c r="C119" s="8" t="s">
        <v>951</v>
      </c>
      <c r="D119" s="8"/>
      <c r="E119" s="6" t="s">
        <v>669</v>
      </c>
      <c r="F119" s="8" t="s">
        <v>952</v>
      </c>
      <c r="G119" s="8">
        <f t="shared" si="6"/>
        <v>52</v>
      </c>
      <c r="H119" s="2" t="s">
        <v>953</v>
      </c>
      <c r="I119" s="2">
        <f t="shared" si="4"/>
        <v>18</v>
      </c>
      <c r="J119" s="2" t="s">
        <v>954</v>
      </c>
      <c r="K119" s="2">
        <f t="shared" si="5"/>
        <v>34</v>
      </c>
      <c r="L119" s="2" t="s">
        <v>33</v>
      </c>
      <c r="M119" s="2" t="s">
        <v>34</v>
      </c>
      <c r="N119" s="25"/>
      <c r="O119" s="26"/>
      <c r="P119" s="8" t="s">
        <v>37</v>
      </c>
      <c r="Q119" s="8" t="s">
        <v>38</v>
      </c>
      <c r="R119" s="8" t="s">
        <v>38</v>
      </c>
      <c r="S119" s="24"/>
      <c r="T119" s="24"/>
      <c r="U119" s="24"/>
      <c r="V119" s="2"/>
      <c r="W119" s="2"/>
      <c r="X119" s="2"/>
      <c r="Y119" s="24"/>
      <c r="Z119" s="2" t="s">
        <v>42</v>
      </c>
      <c r="AA119" s="2"/>
    </row>
    <row r="120" spans="1:27" x14ac:dyDescent="0.2">
      <c r="A120" s="2" t="s">
        <v>955</v>
      </c>
      <c r="B120" s="24" t="s">
        <v>956</v>
      </c>
      <c r="C120" s="8" t="s">
        <v>957</v>
      </c>
      <c r="D120" s="8"/>
      <c r="E120" s="6" t="s">
        <v>669</v>
      </c>
      <c r="F120" s="8" t="s">
        <v>958</v>
      </c>
      <c r="G120" s="8">
        <f t="shared" si="6"/>
        <v>55</v>
      </c>
      <c r="H120" s="2" t="s">
        <v>959</v>
      </c>
      <c r="I120" s="2">
        <f t="shared" si="4"/>
        <v>30</v>
      </c>
      <c r="J120" s="2" t="s">
        <v>960</v>
      </c>
      <c r="K120" s="2">
        <f t="shared" si="5"/>
        <v>25</v>
      </c>
      <c r="L120" s="2" t="s">
        <v>33</v>
      </c>
      <c r="M120" s="2" t="s">
        <v>34</v>
      </c>
      <c r="N120" s="25" t="s">
        <v>328</v>
      </c>
      <c r="O120" s="26" t="s">
        <v>947</v>
      </c>
      <c r="P120" s="8" t="s">
        <v>37</v>
      </c>
      <c r="Q120" s="8" t="s">
        <v>38</v>
      </c>
      <c r="R120" s="8" t="s">
        <v>38</v>
      </c>
      <c r="S120" s="24" t="s">
        <v>961</v>
      </c>
      <c r="T120" s="24" t="s">
        <v>962</v>
      </c>
      <c r="U120" s="24">
        <v>8755874</v>
      </c>
      <c r="V120" s="2"/>
      <c r="W120" s="2" t="s">
        <v>963</v>
      </c>
      <c r="X120" s="2"/>
      <c r="Y120" s="24" t="s">
        <v>964</v>
      </c>
      <c r="Z120" s="2" t="s">
        <v>42</v>
      </c>
      <c r="AA120" s="2"/>
    </row>
    <row r="121" spans="1:27" x14ac:dyDescent="0.2">
      <c r="A121" s="2" t="s">
        <v>965</v>
      </c>
      <c r="B121" s="24"/>
      <c r="C121" s="8" t="s">
        <v>966</v>
      </c>
      <c r="D121" s="8"/>
      <c r="E121" s="6" t="s">
        <v>669</v>
      </c>
      <c r="F121" s="8" t="s">
        <v>967</v>
      </c>
      <c r="G121" s="8">
        <f t="shared" si="6"/>
        <v>57</v>
      </c>
      <c r="H121" s="2" t="s">
        <v>968</v>
      </c>
      <c r="I121" s="2">
        <f t="shared" si="4"/>
        <v>25</v>
      </c>
      <c r="J121" s="2" t="s">
        <v>969</v>
      </c>
      <c r="K121" s="2">
        <f t="shared" si="5"/>
        <v>32</v>
      </c>
      <c r="L121" s="2" t="s">
        <v>33</v>
      </c>
      <c r="M121" s="2" t="s">
        <v>34</v>
      </c>
      <c r="N121" s="25"/>
      <c r="O121" s="26"/>
      <c r="P121" s="8" t="s">
        <v>37</v>
      </c>
      <c r="Q121" s="8" t="s">
        <v>38</v>
      </c>
      <c r="R121" s="8" t="s">
        <v>38</v>
      </c>
      <c r="S121" s="24"/>
      <c r="T121" s="24"/>
      <c r="U121" s="24"/>
      <c r="V121" s="2"/>
      <c r="W121" s="2" t="s">
        <v>970</v>
      </c>
      <c r="X121" s="2"/>
      <c r="Y121" s="24"/>
      <c r="Z121" s="2" t="s">
        <v>42</v>
      </c>
      <c r="AA121" s="2"/>
    </row>
    <row r="122" spans="1:27" x14ac:dyDescent="0.2">
      <c r="A122" s="2" t="s">
        <v>971</v>
      </c>
      <c r="B122" s="24" t="s">
        <v>972</v>
      </c>
      <c r="C122" s="8" t="s">
        <v>973</v>
      </c>
      <c r="D122" s="8"/>
      <c r="E122" s="6" t="s">
        <v>669</v>
      </c>
      <c r="F122" s="2" t="s">
        <v>974</v>
      </c>
      <c r="G122" s="2">
        <f t="shared" si="6"/>
        <v>55</v>
      </c>
      <c r="H122" s="2" t="s">
        <v>975</v>
      </c>
      <c r="I122" s="2">
        <f t="shared" si="4"/>
        <v>22</v>
      </c>
      <c r="J122" s="2" t="s">
        <v>976</v>
      </c>
      <c r="K122" s="2">
        <f t="shared" si="5"/>
        <v>33</v>
      </c>
      <c r="L122" s="2" t="s">
        <v>33</v>
      </c>
      <c r="M122" s="2" t="s">
        <v>34</v>
      </c>
      <c r="N122" s="28" t="s">
        <v>977</v>
      </c>
      <c r="O122" s="26" t="s">
        <v>978</v>
      </c>
      <c r="P122" s="8" t="s">
        <v>37</v>
      </c>
      <c r="Q122" s="8" t="s">
        <v>38</v>
      </c>
      <c r="R122" s="8" t="s">
        <v>38</v>
      </c>
      <c r="S122" s="27" t="s">
        <v>102</v>
      </c>
      <c r="T122" s="24" t="s">
        <v>979</v>
      </c>
      <c r="U122" s="24">
        <v>35067836</v>
      </c>
      <c r="V122" s="2"/>
      <c r="W122" s="2"/>
      <c r="X122" s="2"/>
      <c r="Y122" s="24" t="s">
        <v>980</v>
      </c>
      <c r="Z122" s="2" t="s">
        <v>42</v>
      </c>
      <c r="AA122" s="2"/>
    </row>
    <row r="123" spans="1:27" x14ac:dyDescent="0.2">
      <c r="A123" s="2" t="s">
        <v>981</v>
      </c>
      <c r="B123" s="24"/>
      <c r="C123" s="8" t="s">
        <v>982</v>
      </c>
      <c r="D123" s="8"/>
      <c r="E123" s="6" t="s">
        <v>669</v>
      </c>
      <c r="F123" s="2" t="s">
        <v>983</v>
      </c>
      <c r="G123" s="2">
        <f t="shared" si="6"/>
        <v>49</v>
      </c>
      <c r="H123" s="2" t="s">
        <v>984</v>
      </c>
      <c r="I123" s="2">
        <f t="shared" si="4"/>
        <v>20</v>
      </c>
      <c r="J123" s="2" t="s">
        <v>985</v>
      </c>
      <c r="K123" s="2">
        <f t="shared" si="5"/>
        <v>29</v>
      </c>
      <c r="L123" s="2" t="s">
        <v>33</v>
      </c>
      <c r="M123" s="2" t="s">
        <v>34</v>
      </c>
      <c r="N123" s="28"/>
      <c r="O123" s="26"/>
      <c r="P123" s="8" t="s">
        <v>37</v>
      </c>
      <c r="Q123" s="8" t="s">
        <v>38</v>
      </c>
      <c r="R123" s="8" t="s">
        <v>38</v>
      </c>
      <c r="S123" s="24"/>
      <c r="T123" s="24"/>
      <c r="U123" s="24"/>
      <c r="V123" s="2"/>
      <c r="W123" s="2"/>
      <c r="X123" s="2"/>
      <c r="Y123" s="24"/>
      <c r="Z123" s="2" t="s">
        <v>42</v>
      </c>
      <c r="AA123" s="2"/>
    </row>
    <row r="124" spans="1:27" x14ac:dyDescent="0.2">
      <c r="A124" s="2" t="s">
        <v>986</v>
      </c>
      <c r="B124" s="24" t="s">
        <v>987</v>
      </c>
      <c r="C124" s="8" t="s">
        <v>988</v>
      </c>
      <c r="D124" s="8" t="s">
        <v>989</v>
      </c>
      <c r="E124" s="6" t="s">
        <v>669</v>
      </c>
      <c r="F124" s="8" t="s">
        <v>670</v>
      </c>
      <c r="G124" s="8">
        <f t="shared" si="6"/>
        <v>64</v>
      </c>
      <c r="H124" s="2" t="s">
        <v>671</v>
      </c>
      <c r="I124" s="2">
        <f t="shared" si="4"/>
        <v>19</v>
      </c>
      <c r="J124" s="2" t="s">
        <v>672</v>
      </c>
      <c r="K124" s="2">
        <f t="shared" si="5"/>
        <v>45</v>
      </c>
      <c r="L124" s="2" t="s">
        <v>33</v>
      </c>
      <c r="M124" s="2" t="s">
        <v>34</v>
      </c>
      <c r="N124" s="25" t="s">
        <v>476</v>
      </c>
      <c r="O124" s="26" t="s">
        <v>990</v>
      </c>
      <c r="P124" s="8" t="s">
        <v>37</v>
      </c>
      <c r="Q124" s="8" t="s">
        <v>38</v>
      </c>
      <c r="R124" s="8" t="s">
        <v>38</v>
      </c>
      <c r="S124" s="27" t="s">
        <v>102</v>
      </c>
      <c r="T124" s="24" t="s">
        <v>991</v>
      </c>
      <c r="U124" s="24">
        <v>17416691</v>
      </c>
      <c r="V124" s="2"/>
      <c r="W124" s="2"/>
      <c r="X124" s="2"/>
      <c r="Y124" s="24" t="s">
        <v>992</v>
      </c>
      <c r="Z124" s="2" t="s">
        <v>42</v>
      </c>
      <c r="AA124" s="2"/>
    </row>
    <row r="125" spans="1:27" x14ac:dyDescent="0.2">
      <c r="A125" s="2" t="s">
        <v>993</v>
      </c>
      <c r="B125" s="24"/>
      <c r="C125" s="8" t="s">
        <v>994</v>
      </c>
      <c r="D125" s="8"/>
      <c r="E125" s="6" t="s">
        <v>669</v>
      </c>
      <c r="F125" s="8" t="s">
        <v>995</v>
      </c>
      <c r="G125" s="8">
        <f t="shared" si="6"/>
        <v>68</v>
      </c>
      <c r="H125" s="2" t="s">
        <v>682</v>
      </c>
      <c r="I125" s="2">
        <f t="shared" si="4"/>
        <v>22</v>
      </c>
      <c r="J125" s="2" t="s">
        <v>996</v>
      </c>
      <c r="K125" s="2">
        <f t="shared" si="5"/>
        <v>46</v>
      </c>
      <c r="L125" s="2" t="s">
        <v>33</v>
      </c>
      <c r="M125" s="2" t="s">
        <v>34</v>
      </c>
      <c r="N125" s="25"/>
      <c r="O125" s="26"/>
      <c r="P125" s="8" t="s">
        <v>37</v>
      </c>
      <c r="Q125" s="8" t="s">
        <v>38</v>
      </c>
      <c r="R125" s="8" t="s">
        <v>38</v>
      </c>
      <c r="S125" s="24"/>
      <c r="T125" s="24"/>
      <c r="U125" s="24"/>
      <c r="V125" s="2"/>
      <c r="W125" s="2"/>
      <c r="X125" s="2"/>
      <c r="Y125" s="24"/>
      <c r="Z125" s="2" t="s">
        <v>42</v>
      </c>
      <c r="AA125" s="2"/>
    </row>
    <row r="126" spans="1:27" x14ac:dyDescent="0.2">
      <c r="A126" s="2" t="s">
        <v>997</v>
      </c>
      <c r="B126" s="24" t="s">
        <v>998</v>
      </c>
      <c r="C126" s="8" t="s">
        <v>999</v>
      </c>
      <c r="D126" s="8" t="s">
        <v>1000</v>
      </c>
      <c r="E126" s="6" t="s">
        <v>669</v>
      </c>
      <c r="F126" s="2" t="s">
        <v>1001</v>
      </c>
      <c r="G126" s="8">
        <f t="shared" si="6"/>
        <v>85</v>
      </c>
      <c r="H126" s="2" t="s">
        <v>1002</v>
      </c>
      <c r="I126" s="2">
        <f t="shared" si="4"/>
        <v>23</v>
      </c>
      <c r="J126" s="2" t="s">
        <v>1003</v>
      </c>
      <c r="K126" s="2">
        <f t="shared" si="5"/>
        <v>62</v>
      </c>
      <c r="L126" s="2" t="s">
        <v>33</v>
      </c>
      <c r="M126" s="2" t="s">
        <v>34</v>
      </c>
      <c r="N126" s="25" t="s">
        <v>1004</v>
      </c>
      <c r="O126" s="26" t="s">
        <v>1005</v>
      </c>
      <c r="P126" s="8" t="s">
        <v>37</v>
      </c>
      <c r="Q126" s="8" t="s">
        <v>38</v>
      </c>
      <c r="R126" s="8" t="s">
        <v>38</v>
      </c>
      <c r="S126" s="24" t="s">
        <v>1006</v>
      </c>
      <c r="T126" s="24" t="s">
        <v>1007</v>
      </c>
      <c r="U126" s="24">
        <v>9162062</v>
      </c>
      <c r="V126" s="2"/>
      <c r="W126" s="2"/>
      <c r="X126" s="2"/>
      <c r="Y126" s="24" t="s">
        <v>1008</v>
      </c>
      <c r="Z126" s="2" t="s">
        <v>42</v>
      </c>
      <c r="AA126" s="2"/>
    </row>
    <row r="127" spans="1:27" x14ac:dyDescent="0.2">
      <c r="A127" s="2" t="s">
        <v>1009</v>
      </c>
      <c r="B127" s="24"/>
      <c r="C127" s="8" t="s">
        <v>1010</v>
      </c>
      <c r="D127" s="8"/>
      <c r="E127" s="6" t="s">
        <v>669</v>
      </c>
      <c r="F127" s="8" t="s">
        <v>1011</v>
      </c>
      <c r="G127" s="8">
        <f t="shared" si="6"/>
        <v>64</v>
      </c>
      <c r="H127" s="2" t="s">
        <v>1012</v>
      </c>
      <c r="I127" s="2">
        <f t="shared" si="4"/>
        <v>21</v>
      </c>
      <c r="J127" s="2" t="s">
        <v>1013</v>
      </c>
      <c r="K127" s="2">
        <f t="shared" si="5"/>
        <v>43</v>
      </c>
      <c r="L127" s="2" t="s">
        <v>33</v>
      </c>
      <c r="M127" s="2" t="s">
        <v>34</v>
      </c>
      <c r="N127" s="25"/>
      <c r="O127" s="26"/>
      <c r="P127" s="8" t="s">
        <v>37</v>
      </c>
      <c r="Q127" s="8" t="s">
        <v>38</v>
      </c>
      <c r="R127" s="8" t="s">
        <v>38</v>
      </c>
      <c r="S127" s="24"/>
      <c r="T127" s="24"/>
      <c r="U127" s="24"/>
      <c r="V127" s="2"/>
      <c r="W127" s="2"/>
      <c r="X127" s="2"/>
      <c r="Y127" s="24"/>
      <c r="Z127" s="2" t="s">
        <v>42</v>
      </c>
      <c r="AA127" s="2"/>
    </row>
    <row r="128" spans="1:27" x14ac:dyDescent="0.2">
      <c r="A128" s="2" t="s">
        <v>1014</v>
      </c>
      <c r="B128" s="24" t="s">
        <v>1015</v>
      </c>
      <c r="C128" s="8" t="s">
        <v>1016</v>
      </c>
      <c r="D128" s="8"/>
      <c r="E128" s="6" t="s">
        <v>669</v>
      </c>
      <c r="F128" s="2" t="s">
        <v>1017</v>
      </c>
      <c r="G128" s="2">
        <f t="shared" si="6"/>
        <v>75</v>
      </c>
      <c r="H128" s="2" t="s">
        <v>1018</v>
      </c>
      <c r="I128" s="2">
        <f t="shared" si="4"/>
        <v>18</v>
      </c>
      <c r="J128" s="2" t="s">
        <v>1019</v>
      </c>
      <c r="K128" s="2">
        <f t="shared" si="5"/>
        <v>57</v>
      </c>
      <c r="L128" s="2" t="s">
        <v>33</v>
      </c>
      <c r="M128" s="2" t="s">
        <v>34</v>
      </c>
      <c r="N128" s="25" t="s">
        <v>1020</v>
      </c>
      <c r="O128" s="26">
        <v>11088</v>
      </c>
      <c r="P128" s="8" t="s">
        <v>37</v>
      </c>
      <c r="Q128" s="8" t="s">
        <v>38</v>
      </c>
      <c r="R128" s="8" t="s">
        <v>38</v>
      </c>
      <c r="S128" s="27" t="s">
        <v>102</v>
      </c>
      <c r="T128" s="24" t="s">
        <v>1021</v>
      </c>
      <c r="U128" s="24">
        <v>1903624</v>
      </c>
      <c r="V128" s="2"/>
      <c r="W128" s="2" t="s">
        <v>1022</v>
      </c>
      <c r="X128" s="2"/>
      <c r="Y128" s="24" t="s">
        <v>1023</v>
      </c>
      <c r="Z128" s="2" t="s">
        <v>42</v>
      </c>
      <c r="AA128" s="2"/>
    </row>
    <row r="129" spans="1:27" x14ac:dyDescent="0.2">
      <c r="A129" s="2" t="s">
        <v>1024</v>
      </c>
      <c r="B129" s="24"/>
      <c r="C129" s="8" t="s">
        <v>1025</v>
      </c>
      <c r="D129" s="8"/>
      <c r="E129" s="6" t="s">
        <v>669</v>
      </c>
      <c r="F129" s="8" t="s">
        <v>1026</v>
      </c>
      <c r="G129" s="2">
        <f t="shared" si="6"/>
        <v>62</v>
      </c>
      <c r="H129" s="2" t="s">
        <v>1027</v>
      </c>
      <c r="I129" s="2">
        <f t="shared" si="4"/>
        <v>14</v>
      </c>
      <c r="J129" s="2" t="s">
        <v>1028</v>
      </c>
      <c r="K129" s="2">
        <f t="shared" si="5"/>
        <v>48</v>
      </c>
      <c r="L129" s="2" t="s">
        <v>33</v>
      </c>
      <c r="M129" s="2" t="s">
        <v>34</v>
      </c>
      <c r="N129" s="25"/>
      <c r="O129" s="26"/>
      <c r="P129" s="8" t="s">
        <v>37</v>
      </c>
      <c r="Q129" s="8" t="s">
        <v>38</v>
      </c>
      <c r="R129" s="8" t="s">
        <v>38</v>
      </c>
      <c r="S129" s="24"/>
      <c r="T129" s="24"/>
      <c r="U129" s="24"/>
      <c r="V129" s="2"/>
      <c r="W129" s="2" t="s">
        <v>1029</v>
      </c>
      <c r="X129" s="2"/>
      <c r="Y129" s="24"/>
      <c r="Z129" s="2" t="s">
        <v>42</v>
      </c>
      <c r="AA129" s="2"/>
    </row>
    <row r="130" spans="1:27" x14ac:dyDescent="0.2">
      <c r="A130" s="2" t="s">
        <v>1030</v>
      </c>
      <c r="B130" s="24" t="s">
        <v>1031</v>
      </c>
      <c r="C130" s="8" t="s">
        <v>1032</v>
      </c>
      <c r="D130" s="8"/>
      <c r="E130" s="6" t="s">
        <v>669</v>
      </c>
      <c r="F130" s="2" t="s">
        <v>1033</v>
      </c>
      <c r="G130" s="8">
        <f t="shared" si="6"/>
        <v>77</v>
      </c>
      <c r="H130" s="2" t="s">
        <v>1034</v>
      </c>
      <c r="I130" s="2">
        <f t="shared" si="4"/>
        <v>18</v>
      </c>
      <c r="J130" s="2" t="s">
        <v>1035</v>
      </c>
      <c r="K130" s="2">
        <f t="shared" si="5"/>
        <v>59</v>
      </c>
      <c r="L130" s="2" t="s">
        <v>33</v>
      </c>
      <c r="M130" s="2" t="s">
        <v>34</v>
      </c>
      <c r="N130" s="25" t="s">
        <v>1036</v>
      </c>
      <c r="O130" s="26" t="s">
        <v>1037</v>
      </c>
      <c r="P130" s="8" t="s">
        <v>37</v>
      </c>
      <c r="Q130" s="8" t="s">
        <v>38</v>
      </c>
      <c r="R130" s="8" t="s">
        <v>38</v>
      </c>
      <c r="S130" s="24" t="s">
        <v>1038</v>
      </c>
      <c r="T130" s="24" t="s">
        <v>1039</v>
      </c>
      <c r="U130" s="24">
        <v>9835559</v>
      </c>
      <c r="V130" s="2"/>
      <c r="W130" s="2"/>
      <c r="X130" s="2"/>
      <c r="Y130" s="24" t="s">
        <v>1040</v>
      </c>
      <c r="Z130" s="2" t="s">
        <v>42</v>
      </c>
      <c r="AA130" s="2"/>
    </row>
    <row r="131" spans="1:27" x14ac:dyDescent="0.2">
      <c r="A131" s="2" t="s">
        <v>1041</v>
      </c>
      <c r="B131" s="24"/>
      <c r="C131" s="8" t="s">
        <v>1042</v>
      </c>
      <c r="D131" s="8"/>
      <c r="E131" s="6" t="s">
        <v>669</v>
      </c>
      <c r="F131" s="8" t="s">
        <v>1043</v>
      </c>
      <c r="G131" s="8">
        <f t="shared" si="6"/>
        <v>60</v>
      </c>
      <c r="H131" s="2" t="s">
        <v>1044</v>
      </c>
      <c r="I131" s="2">
        <f t="shared" si="4"/>
        <v>17</v>
      </c>
      <c r="J131" s="2" t="s">
        <v>1045</v>
      </c>
      <c r="K131" s="2">
        <f t="shared" si="5"/>
        <v>43</v>
      </c>
      <c r="L131" s="2" t="s">
        <v>33</v>
      </c>
      <c r="M131" s="2" t="s">
        <v>34</v>
      </c>
      <c r="N131" s="25"/>
      <c r="O131" s="26"/>
      <c r="P131" s="8" t="s">
        <v>37</v>
      </c>
      <c r="Q131" s="8" t="s">
        <v>38</v>
      </c>
      <c r="R131" s="8" t="s">
        <v>38</v>
      </c>
      <c r="S131" s="24"/>
      <c r="T131" s="24"/>
      <c r="U131" s="24"/>
      <c r="V131" s="2"/>
      <c r="W131" s="2"/>
      <c r="X131" s="2"/>
      <c r="Y131" s="24"/>
      <c r="Z131" s="2" t="s">
        <v>42</v>
      </c>
      <c r="AA131" s="2"/>
    </row>
    <row r="132" spans="1:27" x14ac:dyDescent="0.2">
      <c r="A132" s="2" t="s">
        <v>1046</v>
      </c>
      <c r="B132" s="24" t="s">
        <v>1047</v>
      </c>
      <c r="C132" s="8" t="s">
        <v>1048</v>
      </c>
      <c r="D132" s="8"/>
      <c r="E132" s="6" t="s">
        <v>669</v>
      </c>
      <c r="F132" s="2" t="s">
        <v>1049</v>
      </c>
      <c r="G132" s="2">
        <f t="shared" si="6"/>
        <v>75</v>
      </c>
      <c r="H132" s="2" t="s">
        <v>1050</v>
      </c>
      <c r="I132" s="2">
        <f t="shared" si="4"/>
        <v>23</v>
      </c>
      <c r="J132" s="2" t="s">
        <v>1051</v>
      </c>
      <c r="K132" s="2">
        <f t="shared" si="5"/>
        <v>52</v>
      </c>
      <c r="L132" s="2" t="s">
        <v>33</v>
      </c>
      <c r="M132" s="2" t="s">
        <v>34</v>
      </c>
      <c r="N132" s="25" t="s">
        <v>1052</v>
      </c>
      <c r="O132" s="26" t="s">
        <v>1053</v>
      </c>
      <c r="P132" s="8" t="s">
        <v>37</v>
      </c>
      <c r="Q132" s="8" t="s">
        <v>38</v>
      </c>
      <c r="R132" s="8" t="s">
        <v>38</v>
      </c>
      <c r="S132" s="27" t="s">
        <v>102</v>
      </c>
      <c r="T132" s="24" t="s">
        <v>1054</v>
      </c>
      <c r="U132" s="24">
        <v>27808235</v>
      </c>
      <c r="V132" s="2"/>
      <c r="W132" s="2"/>
      <c r="X132" s="2"/>
      <c r="Y132" s="24" t="s">
        <v>1055</v>
      </c>
      <c r="Z132" s="2" t="s">
        <v>42</v>
      </c>
      <c r="AA132" s="24"/>
    </row>
    <row r="133" spans="1:27" x14ac:dyDescent="0.2">
      <c r="A133" s="2" t="s">
        <v>1056</v>
      </c>
      <c r="B133" s="24"/>
      <c r="C133" s="8" t="s">
        <v>1057</v>
      </c>
      <c r="D133" s="8"/>
      <c r="E133" s="6" t="s">
        <v>669</v>
      </c>
      <c r="F133" s="8" t="s">
        <v>1058</v>
      </c>
      <c r="G133" s="2">
        <f t="shared" si="6"/>
        <v>66</v>
      </c>
      <c r="H133" s="2" t="s">
        <v>1059</v>
      </c>
      <c r="I133" s="2">
        <f t="shared" si="4"/>
        <v>18</v>
      </c>
      <c r="J133" s="2" t="s">
        <v>1060</v>
      </c>
      <c r="K133" s="2">
        <f t="shared" si="5"/>
        <v>48</v>
      </c>
      <c r="L133" s="2" t="s">
        <v>33</v>
      </c>
      <c r="M133" s="2" t="s">
        <v>34</v>
      </c>
      <c r="N133" s="25"/>
      <c r="O133" s="26"/>
      <c r="P133" s="8" t="s">
        <v>37</v>
      </c>
      <c r="Q133" s="8" t="s">
        <v>38</v>
      </c>
      <c r="R133" s="8" t="s">
        <v>38</v>
      </c>
      <c r="S133" s="24"/>
      <c r="T133" s="24"/>
      <c r="U133" s="24"/>
      <c r="V133" s="2"/>
      <c r="W133" s="2"/>
      <c r="X133" s="2"/>
      <c r="Y133" s="24"/>
      <c r="Z133" s="2" t="s">
        <v>42</v>
      </c>
      <c r="AA133" s="24"/>
    </row>
    <row r="134" spans="1:27" x14ac:dyDescent="0.2">
      <c r="A134" s="2" t="s">
        <v>1061</v>
      </c>
      <c r="B134" s="24" t="s">
        <v>1062</v>
      </c>
      <c r="C134" s="8" t="s">
        <v>1063</v>
      </c>
      <c r="D134" s="8"/>
      <c r="E134" s="6" t="s">
        <v>669</v>
      </c>
      <c r="F134" s="2" t="s">
        <v>1064</v>
      </c>
      <c r="G134" s="8">
        <f t="shared" si="6"/>
        <v>83</v>
      </c>
      <c r="H134" s="2" t="s">
        <v>1065</v>
      </c>
      <c r="I134" s="2">
        <f t="shared" si="4"/>
        <v>23</v>
      </c>
      <c r="J134" s="2" t="s">
        <v>1066</v>
      </c>
      <c r="K134" s="2">
        <f t="shared" si="5"/>
        <v>60</v>
      </c>
      <c r="L134" s="2" t="s">
        <v>33</v>
      </c>
      <c r="M134" s="2" t="s">
        <v>34</v>
      </c>
      <c r="N134" s="25" t="s">
        <v>1067</v>
      </c>
      <c r="O134" s="26" t="s">
        <v>1068</v>
      </c>
      <c r="P134" s="8" t="s">
        <v>37</v>
      </c>
      <c r="Q134" s="8" t="s">
        <v>38</v>
      </c>
      <c r="R134" s="8" t="s">
        <v>38</v>
      </c>
      <c r="S134" s="27" t="s">
        <v>102</v>
      </c>
      <c r="T134" s="24" t="s">
        <v>1069</v>
      </c>
      <c r="U134" s="24">
        <v>17074857</v>
      </c>
      <c r="V134" s="2"/>
      <c r="W134" s="2"/>
      <c r="X134" s="2"/>
      <c r="Y134" s="24" t="s">
        <v>1070</v>
      </c>
      <c r="Z134" s="2" t="s">
        <v>42</v>
      </c>
      <c r="AA134" s="2"/>
    </row>
    <row r="135" spans="1:27" x14ac:dyDescent="0.2">
      <c r="A135" s="2" t="s">
        <v>1071</v>
      </c>
      <c r="B135" s="24"/>
      <c r="C135" s="8" t="s">
        <v>1072</v>
      </c>
      <c r="D135" s="8"/>
      <c r="E135" s="6" t="s">
        <v>669</v>
      </c>
      <c r="F135" s="8" t="s">
        <v>1073</v>
      </c>
      <c r="G135" s="8">
        <f t="shared" si="6"/>
        <v>67</v>
      </c>
      <c r="H135" s="2" t="s">
        <v>1074</v>
      </c>
      <c r="I135" s="2">
        <f t="shared" si="4"/>
        <v>18</v>
      </c>
      <c r="J135" s="2" t="s">
        <v>1075</v>
      </c>
      <c r="K135" s="2">
        <f t="shared" si="5"/>
        <v>49</v>
      </c>
      <c r="L135" s="2" t="s">
        <v>33</v>
      </c>
      <c r="M135" s="2" t="s">
        <v>34</v>
      </c>
      <c r="N135" s="25"/>
      <c r="O135" s="26"/>
      <c r="P135" s="8" t="s">
        <v>37</v>
      </c>
      <c r="Q135" s="8" t="s">
        <v>38</v>
      </c>
      <c r="R135" s="8" t="s">
        <v>38</v>
      </c>
      <c r="S135" s="24"/>
      <c r="T135" s="24"/>
      <c r="U135" s="24"/>
      <c r="V135" s="2"/>
      <c r="W135" s="2"/>
      <c r="X135" s="2"/>
      <c r="Y135" s="24"/>
      <c r="Z135" s="2" t="s">
        <v>42</v>
      </c>
      <c r="AA135" s="2"/>
    </row>
    <row r="136" spans="1:27" x14ac:dyDescent="0.2">
      <c r="A136" s="2" t="s">
        <v>1076</v>
      </c>
      <c r="B136" s="24" t="s">
        <v>1062</v>
      </c>
      <c r="C136" s="8" t="s">
        <v>1063</v>
      </c>
      <c r="D136" s="8"/>
      <c r="E136" s="6" t="s">
        <v>669</v>
      </c>
      <c r="F136" s="2" t="s">
        <v>1077</v>
      </c>
      <c r="G136" s="2">
        <f t="shared" si="6"/>
        <v>84</v>
      </c>
      <c r="H136" s="2" t="s">
        <v>1078</v>
      </c>
      <c r="I136" s="2">
        <f t="shared" si="4"/>
        <v>23</v>
      </c>
      <c r="J136" s="2" t="s">
        <v>1079</v>
      </c>
      <c r="K136" s="2">
        <f t="shared" si="5"/>
        <v>61</v>
      </c>
      <c r="L136" s="2" t="s">
        <v>33</v>
      </c>
      <c r="M136" s="2" t="s">
        <v>34</v>
      </c>
      <c r="N136" s="25" t="s">
        <v>1067</v>
      </c>
      <c r="O136" s="26" t="s">
        <v>1068</v>
      </c>
      <c r="P136" s="8" t="s">
        <v>37</v>
      </c>
      <c r="Q136" s="8" t="s">
        <v>38</v>
      </c>
      <c r="R136" s="8" t="s">
        <v>38</v>
      </c>
      <c r="S136" s="27" t="s">
        <v>102</v>
      </c>
      <c r="T136" s="24" t="s">
        <v>1069</v>
      </c>
      <c r="U136" s="24">
        <v>17074857</v>
      </c>
      <c r="V136" s="2"/>
      <c r="W136" s="2"/>
      <c r="X136" s="2"/>
      <c r="Y136" s="24" t="s">
        <v>1070</v>
      </c>
      <c r="Z136" s="2" t="s">
        <v>42</v>
      </c>
      <c r="AA136" s="2"/>
    </row>
    <row r="137" spans="1:27" x14ac:dyDescent="0.2">
      <c r="A137" s="2" t="s">
        <v>1080</v>
      </c>
      <c r="B137" s="24"/>
      <c r="C137" s="8" t="s">
        <v>1072</v>
      </c>
      <c r="D137" s="8"/>
      <c r="E137" s="6" t="s">
        <v>669</v>
      </c>
      <c r="F137" s="2" t="s">
        <v>1081</v>
      </c>
      <c r="G137" s="2">
        <f t="shared" si="6"/>
        <v>67</v>
      </c>
      <c r="H137" s="2" t="s">
        <v>1074</v>
      </c>
      <c r="I137" s="2">
        <f t="shared" si="4"/>
        <v>18</v>
      </c>
      <c r="J137" s="2" t="s">
        <v>1082</v>
      </c>
      <c r="K137" s="2">
        <f t="shared" si="5"/>
        <v>49</v>
      </c>
      <c r="L137" s="2" t="s">
        <v>33</v>
      </c>
      <c r="M137" s="2" t="s">
        <v>34</v>
      </c>
      <c r="N137" s="25"/>
      <c r="O137" s="26"/>
      <c r="P137" s="8" t="s">
        <v>37</v>
      </c>
      <c r="Q137" s="8" t="s">
        <v>38</v>
      </c>
      <c r="R137" s="8" t="s">
        <v>38</v>
      </c>
      <c r="S137" s="24"/>
      <c r="T137" s="24"/>
      <c r="U137" s="24"/>
      <c r="V137" s="2"/>
      <c r="W137" s="2"/>
      <c r="X137" s="2"/>
      <c r="Y137" s="24"/>
      <c r="Z137" s="2" t="s">
        <v>42</v>
      </c>
      <c r="AA137" s="2"/>
    </row>
    <row r="138" spans="1:27" x14ac:dyDescent="0.2">
      <c r="A138" s="2" t="s">
        <v>1083</v>
      </c>
      <c r="B138" s="24" t="s">
        <v>1084</v>
      </c>
      <c r="C138" s="8" t="s">
        <v>1085</v>
      </c>
      <c r="D138" s="8"/>
      <c r="E138" s="6" t="s">
        <v>669</v>
      </c>
      <c r="F138" s="2" t="s">
        <v>1086</v>
      </c>
      <c r="G138" s="8">
        <f t="shared" si="6"/>
        <v>77</v>
      </c>
      <c r="H138" s="2" t="s">
        <v>1087</v>
      </c>
      <c r="I138" s="2">
        <f t="shared" si="4"/>
        <v>18</v>
      </c>
      <c r="J138" s="2" t="s">
        <v>1035</v>
      </c>
      <c r="K138" s="2">
        <f t="shared" si="5"/>
        <v>59</v>
      </c>
      <c r="L138" s="2" t="s">
        <v>33</v>
      </c>
      <c r="M138" s="2" t="s">
        <v>34</v>
      </c>
      <c r="N138" s="25" t="s">
        <v>83</v>
      </c>
      <c r="O138" s="26" t="s">
        <v>205</v>
      </c>
      <c r="P138" s="8" t="s">
        <v>37</v>
      </c>
      <c r="Q138" s="8" t="s">
        <v>38</v>
      </c>
      <c r="R138" s="8" t="s">
        <v>38</v>
      </c>
      <c r="S138" s="24" t="s">
        <v>1088</v>
      </c>
      <c r="T138" s="26" t="s">
        <v>1089</v>
      </c>
      <c r="U138" s="24">
        <v>22738965</v>
      </c>
      <c r="V138" s="2"/>
      <c r="W138" s="2"/>
      <c r="X138" s="2"/>
      <c r="Y138" s="24" t="s">
        <v>1090</v>
      </c>
      <c r="Z138" s="2" t="s">
        <v>42</v>
      </c>
      <c r="AA138" s="2"/>
    </row>
    <row r="139" spans="1:27" x14ac:dyDescent="0.2">
      <c r="A139" s="2" t="s">
        <v>1091</v>
      </c>
      <c r="B139" s="24"/>
      <c r="C139" s="8" t="s">
        <v>1092</v>
      </c>
      <c r="D139" s="8"/>
      <c r="E139" s="6" t="s">
        <v>669</v>
      </c>
      <c r="F139" s="8" t="s">
        <v>1093</v>
      </c>
      <c r="G139" s="8">
        <f t="shared" si="6"/>
        <v>60</v>
      </c>
      <c r="H139" s="2" t="s">
        <v>1094</v>
      </c>
      <c r="I139" s="2">
        <f t="shared" si="4"/>
        <v>17</v>
      </c>
      <c r="J139" s="2" t="s">
        <v>1095</v>
      </c>
      <c r="K139" s="2">
        <f t="shared" si="5"/>
        <v>43</v>
      </c>
      <c r="L139" s="2" t="s">
        <v>33</v>
      </c>
      <c r="M139" s="2" t="s">
        <v>34</v>
      </c>
      <c r="N139" s="25"/>
      <c r="O139" s="26"/>
      <c r="P139" s="8" t="s">
        <v>37</v>
      </c>
      <c r="Q139" s="8" t="s">
        <v>38</v>
      </c>
      <c r="R139" s="8" t="s">
        <v>38</v>
      </c>
      <c r="S139" s="24"/>
      <c r="T139" s="26"/>
      <c r="U139" s="24"/>
      <c r="V139" s="2"/>
      <c r="W139" s="2"/>
      <c r="X139" s="2"/>
      <c r="Y139" s="24"/>
      <c r="Z139" s="2" t="s">
        <v>42</v>
      </c>
      <c r="AA139" s="2"/>
    </row>
    <row r="140" spans="1:27" x14ac:dyDescent="0.2">
      <c r="A140" s="2" t="s">
        <v>1096</v>
      </c>
      <c r="B140" s="24" t="s">
        <v>1097</v>
      </c>
      <c r="C140" s="2" t="s">
        <v>1098</v>
      </c>
      <c r="D140" s="2"/>
      <c r="E140" s="15" t="s">
        <v>1099</v>
      </c>
      <c r="F140" s="2" t="s">
        <v>1100</v>
      </c>
      <c r="G140" s="8">
        <f t="shared" si="6"/>
        <v>65</v>
      </c>
      <c r="H140" s="2" t="s">
        <v>1101</v>
      </c>
      <c r="I140" s="2">
        <f t="shared" si="4"/>
        <v>23</v>
      </c>
      <c r="J140" s="2" t="s">
        <v>1102</v>
      </c>
      <c r="K140" s="2">
        <f t="shared" si="5"/>
        <v>42</v>
      </c>
      <c r="L140" s="2" t="s">
        <v>33</v>
      </c>
      <c r="M140" s="2" t="s">
        <v>34</v>
      </c>
      <c r="N140" s="2" t="s">
        <v>1103</v>
      </c>
      <c r="O140" s="2" t="s">
        <v>1104</v>
      </c>
      <c r="P140" s="8" t="s">
        <v>37</v>
      </c>
      <c r="Q140" s="2" t="s">
        <v>38</v>
      </c>
      <c r="R140" s="2" t="s">
        <v>38</v>
      </c>
      <c r="S140" s="2"/>
      <c r="T140" s="2" t="s">
        <v>1105</v>
      </c>
      <c r="U140" s="2">
        <v>36951576</v>
      </c>
      <c r="V140" s="2"/>
      <c r="W140" s="2"/>
      <c r="X140" s="2"/>
      <c r="Y140" s="2" t="s">
        <v>1106</v>
      </c>
      <c r="Z140" s="2" t="s">
        <v>452</v>
      </c>
      <c r="AA140" s="2"/>
    </row>
    <row r="141" spans="1:27" x14ac:dyDescent="0.2">
      <c r="A141" s="2" t="s">
        <v>1107</v>
      </c>
      <c r="B141" s="24"/>
      <c r="C141" s="2" t="s">
        <v>1108</v>
      </c>
      <c r="D141" s="2"/>
      <c r="E141" s="15" t="s">
        <v>1099</v>
      </c>
      <c r="F141" s="2" t="s">
        <v>1109</v>
      </c>
      <c r="G141" s="8">
        <f t="shared" si="6"/>
        <v>83</v>
      </c>
      <c r="H141" s="2" t="s">
        <v>1110</v>
      </c>
      <c r="I141" s="2">
        <f t="shared" si="4"/>
        <v>23</v>
      </c>
      <c r="J141" s="2" t="s">
        <v>1111</v>
      </c>
      <c r="K141" s="2">
        <f t="shared" si="5"/>
        <v>60</v>
      </c>
      <c r="L141" s="2" t="s">
        <v>33</v>
      </c>
      <c r="M141" s="2" t="s">
        <v>34</v>
      </c>
      <c r="N141" s="2" t="s">
        <v>1103</v>
      </c>
      <c r="O141" s="2" t="s">
        <v>1104</v>
      </c>
      <c r="P141" s="8" t="s">
        <v>37</v>
      </c>
      <c r="Q141" s="2" t="s">
        <v>38</v>
      </c>
      <c r="R141" s="2" t="s">
        <v>38</v>
      </c>
      <c r="S141" s="2"/>
      <c r="T141" s="2" t="s">
        <v>1105</v>
      </c>
      <c r="U141" s="2">
        <v>36951576</v>
      </c>
      <c r="V141" s="2"/>
      <c r="W141" s="2"/>
      <c r="X141" s="2"/>
      <c r="Y141" s="2" t="s">
        <v>1106</v>
      </c>
      <c r="Z141" s="2" t="s">
        <v>452</v>
      </c>
      <c r="AA141" s="2"/>
    </row>
    <row r="142" spans="1:27" x14ac:dyDescent="0.2">
      <c r="A142" s="2" t="s">
        <v>1112</v>
      </c>
      <c r="B142" s="24" t="s">
        <v>1113</v>
      </c>
      <c r="C142" s="2" t="s">
        <v>1114</v>
      </c>
      <c r="D142" s="2" t="s">
        <v>1115</v>
      </c>
      <c r="E142" s="15" t="s">
        <v>1099</v>
      </c>
      <c r="F142" s="2" t="s">
        <v>1116</v>
      </c>
      <c r="G142" s="2">
        <f t="shared" si="6"/>
        <v>64</v>
      </c>
      <c r="H142" s="2" t="s">
        <v>671</v>
      </c>
      <c r="I142" s="2">
        <f t="shared" si="4"/>
        <v>19</v>
      </c>
      <c r="J142" s="2" t="s">
        <v>672</v>
      </c>
      <c r="K142" s="2">
        <f t="shared" si="5"/>
        <v>45</v>
      </c>
      <c r="L142" s="2" t="s">
        <v>33</v>
      </c>
      <c r="M142" s="2" t="s">
        <v>34</v>
      </c>
      <c r="N142" s="7" t="s">
        <v>476</v>
      </c>
      <c r="O142" s="2" t="s">
        <v>1117</v>
      </c>
      <c r="P142" s="8" t="s">
        <v>37</v>
      </c>
      <c r="Q142" s="2" t="s">
        <v>38</v>
      </c>
      <c r="R142" s="2" t="s">
        <v>38</v>
      </c>
      <c r="S142" s="2" t="s">
        <v>1118</v>
      </c>
      <c r="T142" s="2" t="s">
        <v>1119</v>
      </c>
      <c r="U142" s="2">
        <v>19591924</v>
      </c>
      <c r="V142" s="2"/>
      <c r="W142" s="2"/>
      <c r="X142" s="2"/>
      <c r="Y142" s="2" t="s">
        <v>1120</v>
      </c>
      <c r="Z142" s="2" t="s">
        <v>452</v>
      </c>
      <c r="AA142" s="2"/>
    </row>
    <row r="143" spans="1:27" x14ac:dyDescent="0.2">
      <c r="A143" s="2" t="s">
        <v>1121</v>
      </c>
      <c r="B143" s="24"/>
      <c r="C143" s="2" t="s">
        <v>1122</v>
      </c>
      <c r="D143" s="2" t="s">
        <v>1123</v>
      </c>
      <c r="E143" s="15" t="s">
        <v>1099</v>
      </c>
      <c r="F143" s="2" t="s">
        <v>1124</v>
      </c>
      <c r="G143" s="2">
        <f t="shared" si="6"/>
        <v>68</v>
      </c>
      <c r="H143" s="2" t="s">
        <v>682</v>
      </c>
      <c r="I143" s="2">
        <f t="shared" ref="I143:I206" si="7">LEN(H143)</f>
        <v>22</v>
      </c>
      <c r="J143" s="2" t="s">
        <v>683</v>
      </c>
      <c r="K143" s="2">
        <f t="shared" ref="K143:K149" si="8">LEN(J143)</f>
        <v>46</v>
      </c>
      <c r="L143" s="2" t="s">
        <v>33</v>
      </c>
      <c r="M143" s="2" t="s">
        <v>34</v>
      </c>
      <c r="N143" s="7" t="s">
        <v>476</v>
      </c>
      <c r="O143" s="2" t="s">
        <v>1117</v>
      </c>
      <c r="P143" s="8" t="s">
        <v>37</v>
      </c>
      <c r="Q143" s="2" t="s">
        <v>38</v>
      </c>
      <c r="R143" s="2" t="s">
        <v>38</v>
      </c>
      <c r="S143" s="2" t="s">
        <v>1118</v>
      </c>
      <c r="T143" s="2" t="s">
        <v>1119</v>
      </c>
      <c r="U143" s="2">
        <v>19591924</v>
      </c>
      <c r="V143" s="2"/>
      <c r="W143" s="2"/>
      <c r="X143" s="2"/>
      <c r="Y143" s="2" t="s">
        <v>1120</v>
      </c>
      <c r="Z143" s="2" t="s">
        <v>452</v>
      </c>
      <c r="AA143" s="2"/>
    </row>
    <row r="144" spans="1:27" x14ac:dyDescent="0.2">
      <c r="A144" s="2" t="s">
        <v>1125</v>
      </c>
      <c r="B144" s="24" t="s">
        <v>1126</v>
      </c>
      <c r="C144" s="2" t="s">
        <v>1127</v>
      </c>
      <c r="D144" s="2"/>
      <c r="E144" s="15" t="s">
        <v>1099</v>
      </c>
      <c r="F144" s="2" t="s">
        <v>1128</v>
      </c>
      <c r="G144" s="2">
        <f t="shared" si="6"/>
        <v>45</v>
      </c>
      <c r="H144" s="2" t="s">
        <v>1129</v>
      </c>
      <c r="I144" s="2">
        <f t="shared" si="7"/>
        <v>25</v>
      </c>
      <c r="J144" s="2" t="s">
        <v>1130</v>
      </c>
      <c r="K144" s="2">
        <f t="shared" si="8"/>
        <v>20</v>
      </c>
      <c r="L144" s="2" t="s">
        <v>33</v>
      </c>
      <c r="M144" s="2" t="s">
        <v>34</v>
      </c>
      <c r="N144" s="7" t="s">
        <v>305</v>
      </c>
      <c r="O144" s="2" t="s">
        <v>1131</v>
      </c>
      <c r="P144" s="8" t="s">
        <v>37</v>
      </c>
      <c r="Q144" s="2" t="s">
        <v>38</v>
      </c>
      <c r="R144" s="2" t="s">
        <v>38</v>
      </c>
      <c r="S144" s="2"/>
      <c r="T144" s="2" t="s">
        <v>1132</v>
      </c>
      <c r="U144" s="2">
        <v>37289056</v>
      </c>
      <c r="V144" s="2"/>
      <c r="W144" s="2"/>
      <c r="X144" s="2"/>
      <c r="Y144" s="2" t="s">
        <v>1133</v>
      </c>
      <c r="Z144" s="2" t="s">
        <v>452</v>
      </c>
      <c r="AA144" s="2"/>
    </row>
    <row r="145" spans="1:27" x14ac:dyDescent="0.2">
      <c r="A145" s="2" t="s">
        <v>1134</v>
      </c>
      <c r="B145" s="24"/>
      <c r="C145" s="2" t="s">
        <v>1135</v>
      </c>
      <c r="D145" s="2"/>
      <c r="E145" s="15" t="s">
        <v>1099</v>
      </c>
      <c r="F145" s="2" t="s">
        <v>1136</v>
      </c>
      <c r="G145" s="2">
        <f t="shared" si="6"/>
        <v>50</v>
      </c>
      <c r="H145" s="2" t="s">
        <v>1137</v>
      </c>
      <c r="I145" s="2">
        <f t="shared" si="7"/>
        <v>24</v>
      </c>
      <c r="J145" s="2" t="s">
        <v>1138</v>
      </c>
      <c r="K145" s="2">
        <f t="shared" si="8"/>
        <v>26</v>
      </c>
      <c r="L145" s="2" t="s">
        <v>33</v>
      </c>
      <c r="M145" s="2" t="s">
        <v>34</v>
      </c>
      <c r="N145" s="7" t="s">
        <v>305</v>
      </c>
      <c r="O145" s="2" t="s">
        <v>1131</v>
      </c>
      <c r="P145" s="8" t="s">
        <v>37</v>
      </c>
      <c r="Q145" s="2" t="s">
        <v>38</v>
      </c>
      <c r="R145" s="2" t="s">
        <v>38</v>
      </c>
      <c r="S145" s="2"/>
      <c r="T145" s="2" t="s">
        <v>1132</v>
      </c>
      <c r="U145" s="2">
        <v>37289056</v>
      </c>
      <c r="V145" s="2"/>
      <c r="W145" s="2"/>
      <c r="X145" s="2"/>
      <c r="Y145" s="2" t="s">
        <v>1133</v>
      </c>
      <c r="Z145" s="2" t="s">
        <v>452</v>
      </c>
      <c r="AA145" s="2"/>
    </row>
    <row r="146" spans="1:27" x14ac:dyDescent="0.2">
      <c r="A146" s="2" t="s">
        <v>1139</v>
      </c>
      <c r="B146" s="24" t="s">
        <v>1140</v>
      </c>
      <c r="C146" s="2" t="s">
        <v>1141</v>
      </c>
      <c r="D146" s="2"/>
      <c r="E146" s="15" t="s">
        <v>1099</v>
      </c>
      <c r="F146" s="2" t="s">
        <v>1142</v>
      </c>
      <c r="G146" s="2">
        <f t="shared" si="6"/>
        <v>79</v>
      </c>
      <c r="H146" s="2" t="s">
        <v>801</v>
      </c>
      <c r="I146" s="2">
        <f t="shared" si="7"/>
        <v>15</v>
      </c>
      <c r="J146" s="2" t="s">
        <v>1143</v>
      </c>
      <c r="K146" s="2">
        <f t="shared" si="8"/>
        <v>64</v>
      </c>
      <c r="L146" s="2" t="s">
        <v>33</v>
      </c>
      <c r="M146" s="2" t="s">
        <v>34</v>
      </c>
      <c r="N146" s="7" t="s">
        <v>1144</v>
      </c>
      <c r="O146" s="2" t="s">
        <v>1145</v>
      </c>
      <c r="P146" s="8" t="s">
        <v>37</v>
      </c>
      <c r="Q146" s="2" t="s">
        <v>38</v>
      </c>
      <c r="R146" s="2" t="s">
        <v>38</v>
      </c>
      <c r="S146" s="2" t="s">
        <v>1146</v>
      </c>
      <c r="T146" s="2" t="s">
        <v>1147</v>
      </c>
      <c r="U146" s="2">
        <v>32801180</v>
      </c>
      <c r="V146" s="2"/>
      <c r="W146" s="2"/>
      <c r="X146" s="2"/>
      <c r="Y146" s="2" t="s">
        <v>1148</v>
      </c>
      <c r="Z146" s="2" t="s">
        <v>452</v>
      </c>
      <c r="AA146" s="2"/>
    </row>
    <row r="147" spans="1:27" x14ac:dyDescent="0.2">
      <c r="A147" s="2" t="s">
        <v>1149</v>
      </c>
      <c r="B147" s="24"/>
      <c r="C147" s="2" t="s">
        <v>1150</v>
      </c>
      <c r="D147" s="2" t="s">
        <v>703</v>
      </c>
      <c r="E147" s="15" t="s">
        <v>1099</v>
      </c>
      <c r="F147" s="2" t="s">
        <v>1151</v>
      </c>
      <c r="G147" s="2">
        <f t="shared" si="6"/>
        <v>69</v>
      </c>
      <c r="H147" s="2" t="s">
        <v>707</v>
      </c>
      <c r="I147" s="2">
        <f t="shared" si="7"/>
        <v>16</v>
      </c>
      <c r="J147" s="2" t="s">
        <v>708</v>
      </c>
      <c r="K147" s="2">
        <f t="shared" si="8"/>
        <v>53</v>
      </c>
      <c r="L147" s="2" t="s">
        <v>33</v>
      </c>
      <c r="M147" s="2" t="s">
        <v>34</v>
      </c>
      <c r="N147" s="7" t="s">
        <v>1144</v>
      </c>
      <c r="O147" s="2" t="s">
        <v>1145</v>
      </c>
      <c r="P147" s="8" t="s">
        <v>37</v>
      </c>
      <c r="Q147" s="2" t="s">
        <v>38</v>
      </c>
      <c r="R147" s="2" t="s">
        <v>38</v>
      </c>
      <c r="S147" s="2" t="s">
        <v>1146</v>
      </c>
      <c r="T147" s="2" t="s">
        <v>1147</v>
      </c>
      <c r="U147" s="2">
        <v>32801180</v>
      </c>
      <c r="V147" s="2"/>
      <c r="W147" s="2"/>
      <c r="X147" s="2"/>
      <c r="Y147" s="2" t="s">
        <v>1148</v>
      </c>
      <c r="Z147" s="2" t="s">
        <v>452</v>
      </c>
      <c r="AA147" s="2"/>
    </row>
    <row r="148" spans="1:27" x14ac:dyDescent="0.2">
      <c r="A148" s="2" t="s">
        <v>1152</v>
      </c>
      <c r="B148" s="24" t="s">
        <v>1153</v>
      </c>
      <c r="C148" s="2" t="s">
        <v>1154</v>
      </c>
      <c r="D148" s="2"/>
      <c r="E148" s="15" t="s">
        <v>1099</v>
      </c>
      <c r="F148" s="2" t="s">
        <v>1155</v>
      </c>
      <c r="G148" s="2">
        <f t="shared" si="6"/>
        <v>75</v>
      </c>
      <c r="H148" s="2" t="s">
        <v>815</v>
      </c>
      <c r="I148" s="2">
        <f t="shared" si="7"/>
        <v>18</v>
      </c>
      <c r="J148" s="2" t="s">
        <v>1156</v>
      </c>
      <c r="K148" s="2">
        <f t="shared" si="8"/>
        <v>57</v>
      </c>
      <c r="L148" s="2" t="s">
        <v>33</v>
      </c>
      <c r="M148" s="2" t="s">
        <v>34</v>
      </c>
      <c r="N148" s="7" t="s">
        <v>1144</v>
      </c>
      <c r="O148" s="2" t="s">
        <v>1145</v>
      </c>
      <c r="P148" s="8" t="s">
        <v>37</v>
      </c>
      <c r="Q148" s="2" t="s">
        <v>38</v>
      </c>
      <c r="R148" s="2" t="s">
        <v>38</v>
      </c>
      <c r="S148" s="2" t="s">
        <v>1157</v>
      </c>
      <c r="T148" s="2" t="s">
        <v>1147</v>
      </c>
      <c r="U148" s="2">
        <v>32801180</v>
      </c>
      <c r="V148" s="2"/>
      <c r="W148" s="2"/>
      <c r="X148" s="2"/>
      <c r="Y148" s="2" t="s">
        <v>1148</v>
      </c>
      <c r="Z148" s="2" t="s">
        <v>452</v>
      </c>
      <c r="AA148" s="2"/>
    </row>
    <row r="149" spans="1:27" x14ac:dyDescent="0.2">
      <c r="A149" s="2" t="s">
        <v>1158</v>
      </c>
      <c r="B149" s="24"/>
      <c r="C149" s="2" t="s">
        <v>1159</v>
      </c>
      <c r="D149" s="2" t="s">
        <v>1160</v>
      </c>
      <c r="E149" s="15" t="s">
        <v>1099</v>
      </c>
      <c r="F149" s="2" t="s">
        <v>1161</v>
      </c>
      <c r="G149" s="2">
        <f t="shared" si="6"/>
        <v>65</v>
      </c>
      <c r="H149" s="2" t="s">
        <v>717</v>
      </c>
      <c r="I149" s="2">
        <f t="shared" si="7"/>
        <v>17</v>
      </c>
      <c r="J149" s="2" t="s">
        <v>822</v>
      </c>
      <c r="K149" s="2">
        <f t="shared" si="8"/>
        <v>48</v>
      </c>
      <c r="L149" s="2" t="s">
        <v>33</v>
      </c>
      <c r="M149" s="2" t="s">
        <v>34</v>
      </c>
      <c r="N149" s="7" t="s">
        <v>1144</v>
      </c>
      <c r="O149" s="2" t="s">
        <v>1145</v>
      </c>
      <c r="P149" s="8" t="s">
        <v>37</v>
      </c>
      <c r="Q149" s="2" t="s">
        <v>38</v>
      </c>
      <c r="R149" s="2" t="s">
        <v>38</v>
      </c>
      <c r="S149" s="2" t="s">
        <v>1157</v>
      </c>
      <c r="T149" s="2" t="s">
        <v>1147</v>
      </c>
      <c r="U149" s="2">
        <v>32801180</v>
      </c>
      <c r="V149" s="2"/>
      <c r="W149" s="2"/>
      <c r="X149" s="2"/>
      <c r="Y149" s="2" t="s">
        <v>1148</v>
      </c>
      <c r="Z149" s="2" t="s">
        <v>452</v>
      </c>
      <c r="AA149" s="2"/>
    </row>
    <row r="150" spans="1:27" x14ac:dyDescent="0.2">
      <c r="A150" s="2" t="s">
        <v>1162</v>
      </c>
      <c r="B150" s="24" t="s">
        <v>1163</v>
      </c>
      <c r="C150" s="8" t="s">
        <v>1164</v>
      </c>
      <c r="D150" s="8" t="s">
        <v>1165</v>
      </c>
      <c r="E150" s="6" t="s">
        <v>669</v>
      </c>
      <c r="F150" s="8" t="s">
        <v>1166</v>
      </c>
      <c r="G150" s="8">
        <f t="shared" si="6"/>
        <v>44</v>
      </c>
      <c r="H150" s="8"/>
      <c r="I150" s="2">
        <f t="shared" si="7"/>
        <v>0</v>
      </c>
      <c r="J150" s="2" t="s">
        <v>1166</v>
      </c>
      <c r="K150" s="2">
        <f>LEN(J150)</f>
        <v>44</v>
      </c>
      <c r="L150" s="2" t="s">
        <v>1167</v>
      </c>
      <c r="M150" s="2"/>
      <c r="N150" s="25" t="s">
        <v>120</v>
      </c>
      <c r="O150" s="26">
        <v>14</v>
      </c>
      <c r="P150" s="8" t="s">
        <v>37</v>
      </c>
      <c r="Q150" s="8" t="s">
        <v>38</v>
      </c>
      <c r="R150" s="8" t="s">
        <v>38</v>
      </c>
      <c r="S150" s="27" t="s">
        <v>102</v>
      </c>
      <c r="T150" s="24" t="s">
        <v>1168</v>
      </c>
      <c r="U150" s="24">
        <v>28104423</v>
      </c>
      <c r="V150" s="2"/>
      <c r="W150" s="2"/>
      <c r="X150" s="2"/>
      <c r="Y150" s="24" t="s">
        <v>1169</v>
      </c>
      <c r="Z150" s="2" t="s">
        <v>42</v>
      </c>
      <c r="AA150" s="24" t="s">
        <v>1170</v>
      </c>
    </row>
    <row r="151" spans="1:27" x14ac:dyDescent="0.2">
      <c r="A151" s="2" t="s">
        <v>1171</v>
      </c>
      <c r="B151" s="24"/>
      <c r="C151" s="8" t="s">
        <v>1172</v>
      </c>
      <c r="D151" s="8" t="s">
        <v>1173</v>
      </c>
      <c r="E151" s="6" t="s">
        <v>669</v>
      </c>
      <c r="F151" s="8" t="s">
        <v>1174</v>
      </c>
      <c r="G151" s="8">
        <f t="shared" si="6"/>
        <v>43</v>
      </c>
      <c r="H151" s="8"/>
      <c r="I151" s="2">
        <f t="shared" si="7"/>
        <v>0</v>
      </c>
      <c r="J151" s="2" t="s">
        <v>1174</v>
      </c>
      <c r="K151" s="2">
        <f>LEN(J151)</f>
        <v>43</v>
      </c>
      <c r="L151" s="2" t="s">
        <v>1167</v>
      </c>
      <c r="M151" s="2"/>
      <c r="N151" s="25"/>
      <c r="O151" s="26"/>
      <c r="P151" s="8" t="s">
        <v>37</v>
      </c>
      <c r="Q151" s="8" t="s">
        <v>38</v>
      </c>
      <c r="R151" s="8" t="s">
        <v>38</v>
      </c>
      <c r="S151" s="24"/>
      <c r="T151" s="24"/>
      <c r="U151" s="24"/>
      <c r="V151" s="2"/>
      <c r="W151" s="2"/>
      <c r="X151" s="2"/>
      <c r="Y151" s="24"/>
      <c r="Z151" s="2" t="s">
        <v>42</v>
      </c>
      <c r="AA151" s="24"/>
    </row>
    <row r="152" spans="1:27" x14ac:dyDescent="0.2">
      <c r="A152" s="2" t="s">
        <v>1175</v>
      </c>
      <c r="B152" s="24" t="s">
        <v>1062</v>
      </c>
      <c r="C152" s="8" t="s">
        <v>1176</v>
      </c>
      <c r="D152" s="8"/>
      <c r="E152" s="6" t="s">
        <v>669</v>
      </c>
      <c r="F152" s="2" t="s">
        <v>1177</v>
      </c>
      <c r="G152" s="8">
        <f t="shared" si="6"/>
        <v>71</v>
      </c>
      <c r="H152" s="8"/>
      <c r="I152" s="2">
        <f t="shared" si="7"/>
        <v>0</v>
      </c>
      <c r="J152" s="8"/>
      <c r="K152" s="2">
        <f>LEN(J152)</f>
        <v>0</v>
      </c>
      <c r="L152" s="2" t="s">
        <v>450</v>
      </c>
      <c r="M152" s="2"/>
      <c r="N152" s="25" t="s">
        <v>1178</v>
      </c>
      <c r="O152" s="26" t="s">
        <v>1179</v>
      </c>
      <c r="P152" s="8" t="s">
        <v>37</v>
      </c>
      <c r="Q152" s="8" t="s">
        <v>634</v>
      </c>
      <c r="R152" s="8" t="s">
        <v>634</v>
      </c>
      <c r="S152" s="24" t="s">
        <v>1180</v>
      </c>
      <c r="T152" s="26" t="s">
        <v>1181</v>
      </c>
      <c r="U152" s="24">
        <v>22739096</v>
      </c>
      <c r="V152" s="2"/>
      <c r="W152" s="2"/>
      <c r="X152" s="2"/>
      <c r="Y152" s="24" t="s">
        <v>1182</v>
      </c>
      <c r="Z152" s="2" t="s">
        <v>42</v>
      </c>
      <c r="AA152" s="24" t="s">
        <v>1183</v>
      </c>
    </row>
    <row r="153" spans="1:27" x14ac:dyDescent="0.2">
      <c r="A153" s="2" t="s">
        <v>1184</v>
      </c>
      <c r="B153" s="24"/>
      <c r="C153" s="8" t="s">
        <v>1185</v>
      </c>
      <c r="D153" s="8"/>
      <c r="E153" s="6" t="s">
        <v>669</v>
      </c>
      <c r="F153" s="8" t="s">
        <v>1186</v>
      </c>
      <c r="G153" s="8">
        <f t="shared" si="6"/>
        <v>69</v>
      </c>
      <c r="H153" s="8"/>
      <c r="I153" s="2">
        <f t="shared" si="7"/>
        <v>0</v>
      </c>
      <c r="J153" s="8"/>
      <c r="K153" s="2">
        <f>LEN(J153)</f>
        <v>0</v>
      </c>
      <c r="L153" s="2" t="s">
        <v>450</v>
      </c>
      <c r="M153" s="2"/>
      <c r="N153" s="25"/>
      <c r="O153" s="26"/>
      <c r="P153" s="8" t="s">
        <v>37</v>
      </c>
      <c r="Q153" s="8" t="s">
        <v>634</v>
      </c>
      <c r="R153" s="8" t="s">
        <v>634</v>
      </c>
      <c r="S153" s="24"/>
      <c r="T153" s="26"/>
      <c r="U153" s="24"/>
      <c r="V153" s="2"/>
      <c r="W153" s="2"/>
      <c r="X153" s="2"/>
      <c r="Y153" s="24"/>
      <c r="Z153" s="2" t="s">
        <v>42</v>
      </c>
      <c r="AA153" s="24"/>
    </row>
    <row r="154" spans="1:27" x14ac:dyDescent="0.2">
      <c r="A154" s="2" t="s">
        <v>1187</v>
      </c>
      <c r="B154" s="24" t="s">
        <v>1188</v>
      </c>
      <c r="C154" s="8" t="s">
        <v>1189</v>
      </c>
      <c r="D154" s="8"/>
      <c r="E154" s="6" t="s">
        <v>669</v>
      </c>
      <c r="F154" s="8" t="s">
        <v>1190</v>
      </c>
      <c r="G154" s="8">
        <f t="shared" si="6"/>
        <v>14</v>
      </c>
      <c r="H154" s="8"/>
      <c r="I154" s="2">
        <f t="shared" si="7"/>
        <v>0</v>
      </c>
      <c r="J154" s="2" t="s">
        <v>1190</v>
      </c>
      <c r="K154" s="2">
        <f t="shared" ref="K154:K229" si="9">LEN(J154)</f>
        <v>14</v>
      </c>
      <c r="L154" s="2" t="s">
        <v>450</v>
      </c>
      <c r="M154" s="2"/>
      <c r="N154" s="25" t="s">
        <v>520</v>
      </c>
      <c r="O154" s="26">
        <v>163</v>
      </c>
      <c r="P154" s="8" t="s">
        <v>37</v>
      </c>
      <c r="Q154" s="8" t="s">
        <v>634</v>
      </c>
      <c r="R154" s="8" t="s">
        <v>38</v>
      </c>
      <c r="S154" s="27" t="s">
        <v>102</v>
      </c>
      <c r="T154" s="24" t="s">
        <v>1191</v>
      </c>
      <c r="U154" s="24">
        <v>35019260</v>
      </c>
      <c r="V154" s="2"/>
      <c r="W154" s="2"/>
      <c r="X154" s="2"/>
      <c r="Y154" s="24" t="s">
        <v>1192</v>
      </c>
      <c r="Z154" s="2" t="s">
        <v>42</v>
      </c>
      <c r="AA154" s="24" t="s">
        <v>1193</v>
      </c>
    </row>
    <row r="155" spans="1:27" x14ac:dyDescent="0.2">
      <c r="A155" s="2" t="s">
        <v>1194</v>
      </c>
      <c r="B155" s="24"/>
      <c r="C155" s="8" t="s">
        <v>1195</v>
      </c>
      <c r="D155" s="8"/>
      <c r="E155" s="6" t="s">
        <v>669</v>
      </c>
      <c r="F155" s="8" t="s">
        <v>954</v>
      </c>
      <c r="G155" s="8">
        <f t="shared" si="6"/>
        <v>34</v>
      </c>
      <c r="H155" s="8"/>
      <c r="I155" s="2">
        <f t="shared" si="7"/>
        <v>0</v>
      </c>
      <c r="J155" s="2" t="s">
        <v>954</v>
      </c>
      <c r="K155" s="2">
        <f t="shared" si="9"/>
        <v>34</v>
      </c>
      <c r="L155" s="2" t="s">
        <v>450</v>
      </c>
      <c r="M155" s="2"/>
      <c r="N155" s="25"/>
      <c r="O155" s="26"/>
      <c r="P155" s="8" t="s">
        <v>37</v>
      </c>
      <c r="Q155" s="8" t="s">
        <v>634</v>
      </c>
      <c r="R155" s="8" t="s">
        <v>38</v>
      </c>
      <c r="S155" s="24"/>
      <c r="T155" s="24"/>
      <c r="U155" s="24"/>
      <c r="V155" s="2"/>
      <c r="W155" s="2"/>
      <c r="X155" s="2"/>
      <c r="Y155" s="24"/>
      <c r="Z155" s="2" t="s">
        <v>42</v>
      </c>
      <c r="AA155" s="24"/>
    </row>
    <row r="156" spans="1:27" x14ac:dyDescent="0.2">
      <c r="A156" s="2" t="s">
        <v>1196</v>
      </c>
      <c r="B156" s="24" t="s">
        <v>1197</v>
      </c>
      <c r="C156" s="8" t="s">
        <v>1198</v>
      </c>
      <c r="D156" s="8"/>
      <c r="E156" s="6" t="s">
        <v>669</v>
      </c>
      <c r="F156" s="2" t="s">
        <v>1199</v>
      </c>
      <c r="G156" s="8">
        <f t="shared" si="6"/>
        <v>69</v>
      </c>
      <c r="H156" s="8"/>
      <c r="I156" s="2">
        <f t="shared" si="7"/>
        <v>0</v>
      </c>
      <c r="J156" s="8"/>
      <c r="K156" s="2">
        <f t="shared" si="9"/>
        <v>0</v>
      </c>
      <c r="L156" s="2" t="s">
        <v>450</v>
      </c>
      <c r="M156" s="2"/>
      <c r="N156" s="25" t="s">
        <v>1200</v>
      </c>
      <c r="O156" s="26" t="s">
        <v>1201</v>
      </c>
      <c r="P156" s="8" t="s">
        <v>37</v>
      </c>
      <c r="Q156" s="8" t="s">
        <v>38</v>
      </c>
      <c r="R156" s="8" t="s">
        <v>634</v>
      </c>
      <c r="S156" s="24" t="s">
        <v>1202</v>
      </c>
      <c r="T156" s="24" t="s">
        <v>1203</v>
      </c>
      <c r="U156" s="24">
        <v>1901707</v>
      </c>
      <c r="V156" s="2"/>
      <c r="W156" s="2"/>
      <c r="X156" s="2"/>
      <c r="Y156" s="24" t="s">
        <v>1204</v>
      </c>
      <c r="Z156" s="2" t="s">
        <v>42</v>
      </c>
      <c r="AA156" s="24" t="s">
        <v>1183</v>
      </c>
    </row>
    <row r="157" spans="1:27" x14ac:dyDescent="0.2">
      <c r="A157" s="2" t="s">
        <v>1205</v>
      </c>
      <c r="B157" s="24"/>
      <c r="C157" s="8" t="s">
        <v>1206</v>
      </c>
      <c r="D157" s="8"/>
      <c r="E157" s="6" t="s">
        <v>669</v>
      </c>
      <c r="F157" s="2" t="s">
        <v>1207</v>
      </c>
      <c r="G157" s="8">
        <f t="shared" si="6"/>
        <v>77</v>
      </c>
      <c r="H157" s="8"/>
      <c r="I157" s="2">
        <f t="shared" si="7"/>
        <v>0</v>
      </c>
      <c r="J157" s="8"/>
      <c r="K157" s="2">
        <f t="shared" si="9"/>
        <v>0</v>
      </c>
      <c r="L157" s="2" t="s">
        <v>450</v>
      </c>
      <c r="M157" s="2"/>
      <c r="N157" s="25"/>
      <c r="O157" s="26"/>
      <c r="P157" s="8" t="s">
        <v>37</v>
      </c>
      <c r="Q157" s="8" t="s">
        <v>38</v>
      </c>
      <c r="R157" s="8" t="s">
        <v>634</v>
      </c>
      <c r="S157" s="24"/>
      <c r="T157" s="24"/>
      <c r="U157" s="24"/>
      <c r="V157" s="2"/>
      <c r="W157" s="2"/>
      <c r="X157" s="2"/>
      <c r="Y157" s="24"/>
      <c r="Z157" s="2" t="s">
        <v>42</v>
      </c>
      <c r="AA157" s="24"/>
    </row>
    <row r="158" spans="1:27" x14ac:dyDescent="0.2">
      <c r="A158" s="2" t="s">
        <v>1208</v>
      </c>
      <c r="B158" s="24" t="s">
        <v>1209</v>
      </c>
      <c r="C158" s="8" t="s">
        <v>721</v>
      </c>
      <c r="D158" s="8"/>
      <c r="E158" s="6" t="s">
        <v>669</v>
      </c>
      <c r="F158" s="8" t="s">
        <v>725</v>
      </c>
      <c r="G158" s="8">
        <f t="shared" si="6"/>
        <v>55</v>
      </c>
      <c r="H158" s="8"/>
      <c r="I158" s="2">
        <f t="shared" si="7"/>
        <v>0</v>
      </c>
      <c r="J158" s="2" t="s">
        <v>725</v>
      </c>
      <c r="K158" s="2">
        <f t="shared" si="9"/>
        <v>55</v>
      </c>
      <c r="L158" s="2" t="s">
        <v>450</v>
      </c>
      <c r="M158" s="2"/>
      <c r="N158" s="25" t="s">
        <v>726</v>
      </c>
      <c r="O158" s="26" t="s">
        <v>727</v>
      </c>
      <c r="P158" s="8" t="s">
        <v>37</v>
      </c>
      <c r="Q158" s="8" t="s">
        <v>634</v>
      </c>
      <c r="R158" s="8" t="s">
        <v>38</v>
      </c>
      <c r="S158" s="24" t="s">
        <v>728</v>
      </c>
      <c r="T158" s="24" t="s">
        <v>729</v>
      </c>
      <c r="U158" s="24">
        <v>26632181</v>
      </c>
      <c r="V158" s="2"/>
      <c r="W158" s="2"/>
      <c r="X158" s="2"/>
      <c r="Y158" s="24" t="s">
        <v>730</v>
      </c>
      <c r="Z158" s="2" t="s">
        <v>42</v>
      </c>
      <c r="AA158" s="24" t="s">
        <v>1193</v>
      </c>
    </row>
    <row r="159" spans="1:27" x14ac:dyDescent="0.2">
      <c r="A159" s="2" t="s">
        <v>1210</v>
      </c>
      <c r="B159" s="24"/>
      <c r="C159" s="8" t="s">
        <v>732</v>
      </c>
      <c r="D159" s="8"/>
      <c r="E159" s="6" t="s">
        <v>669</v>
      </c>
      <c r="F159" s="8" t="s">
        <v>736</v>
      </c>
      <c r="G159" s="8">
        <f t="shared" si="6"/>
        <v>53</v>
      </c>
      <c r="H159" s="8"/>
      <c r="I159" s="2">
        <f t="shared" si="7"/>
        <v>0</v>
      </c>
      <c r="J159" s="2" t="s">
        <v>736</v>
      </c>
      <c r="K159" s="2">
        <f t="shared" si="9"/>
        <v>53</v>
      </c>
      <c r="L159" s="2" t="s">
        <v>450</v>
      </c>
      <c r="M159" s="2"/>
      <c r="N159" s="25"/>
      <c r="O159" s="26"/>
      <c r="P159" s="8" t="s">
        <v>37</v>
      </c>
      <c r="Q159" s="8" t="s">
        <v>634</v>
      </c>
      <c r="R159" s="8" t="s">
        <v>38</v>
      </c>
      <c r="S159" s="24"/>
      <c r="T159" s="24"/>
      <c r="U159" s="24"/>
      <c r="V159" s="2"/>
      <c r="W159" s="2"/>
      <c r="X159" s="2"/>
      <c r="Y159" s="24"/>
      <c r="Z159" s="2" t="s">
        <v>42</v>
      </c>
      <c r="AA159" s="24"/>
    </row>
    <row r="160" spans="1:27" x14ac:dyDescent="0.2">
      <c r="A160" s="2" t="s">
        <v>1211</v>
      </c>
      <c r="B160" s="24" t="s">
        <v>1212</v>
      </c>
      <c r="C160" s="8" t="s">
        <v>1213</v>
      </c>
      <c r="D160" s="8"/>
      <c r="E160" s="6" t="s">
        <v>669</v>
      </c>
      <c r="F160" s="2" t="s">
        <v>1214</v>
      </c>
      <c r="G160" s="8">
        <f t="shared" si="6"/>
        <v>23</v>
      </c>
      <c r="H160" s="8"/>
      <c r="I160" s="2">
        <f t="shared" si="7"/>
        <v>0</v>
      </c>
      <c r="J160" s="8"/>
      <c r="K160" s="2">
        <f t="shared" si="9"/>
        <v>0</v>
      </c>
      <c r="L160" s="2" t="s">
        <v>450</v>
      </c>
      <c r="M160" s="2"/>
      <c r="N160" s="25" t="s">
        <v>48</v>
      </c>
      <c r="O160" s="26" t="s">
        <v>1215</v>
      </c>
      <c r="P160" s="8" t="s">
        <v>37</v>
      </c>
      <c r="Q160" s="8" t="s">
        <v>634</v>
      </c>
      <c r="R160" s="8" t="s">
        <v>634</v>
      </c>
      <c r="S160" s="27" t="s">
        <v>102</v>
      </c>
      <c r="T160" s="24" t="s">
        <v>1216</v>
      </c>
      <c r="U160" s="24">
        <v>8975617</v>
      </c>
      <c r="V160" s="2"/>
      <c r="W160" s="14" t="s">
        <v>1217</v>
      </c>
      <c r="X160" s="2"/>
      <c r="Y160" s="24" t="s">
        <v>1218</v>
      </c>
      <c r="Z160" s="2" t="s">
        <v>42</v>
      </c>
      <c r="AA160" s="24" t="s">
        <v>1219</v>
      </c>
    </row>
    <row r="161" spans="1:27" x14ac:dyDescent="0.2">
      <c r="A161" s="2" t="s">
        <v>1220</v>
      </c>
      <c r="B161" s="24"/>
      <c r="C161" s="8" t="s">
        <v>1221</v>
      </c>
      <c r="D161" s="8"/>
      <c r="E161" s="6" t="s">
        <v>669</v>
      </c>
      <c r="F161" s="2" t="s">
        <v>1222</v>
      </c>
      <c r="G161" s="8">
        <f t="shared" si="6"/>
        <v>24</v>
      </c>
      <c r="H161" s="8"/>
      <c r="I161" s="2">
        <f t="shared" si="7"/>
        <v>0</v>
      </c>
      <c r="J161" s="8"/>
      <c r="K161" s="2">
        <f t="shared" si="9"/>
        <v>0</v>
      </c>
      <c r="L161" s="2" t="s">
        <v>450</v>
      </c>
      <c r="M161" s="2"/>
      <c r="N161" s="25"/>
      <c r="O161" s="26"/>
      <c r="P161" s="8" t="s">
        <v>37</v>
      </c>
      <c r="Q161" s="8" t="s">
        <v>634</v>
      </c>
      <c r="R161" s="8" t="s">
        <v>634</v>
      </c>
      <c r="S161" s="24"/>
      <c r="T161" s="24"/>
      <c r="U161" s="24"/>
      <c r="V161" s="2"/>
      <c r="W161" s="2" t="s">
        <v>1223</v>
      </c>
      <c r="X161" s="2"/>
      <c r="Y161" s="24"/>
      <c r="Z161" s="2" t="s">
        <v>42</v>
      </c>
      <c r="AA161" s="24"/>
    </row>
    <row r="162" spans="1:27" x14ac:dyDescent="0.2">
      <c r="A162" s="2" t="s">
        <v>1224</v>
      </c>
      <c r="B162" s="24" t="s">
        <v>1225</v>
      </c>
      <c r="C162" s="24"/>
      <c r="D162" s="2"/>
      <c r="E162" s="6" t="s">
        <v>1226</v>
      </c>
      <c r="F162" s="8" t="s">
        <v>1227</v>
      </c>
      <c r="G162" s="8">
        <f t="shared" si="6"/>
        <v>48</v>
      </c>
      <c r="H162" s="13"/>
      <c r="I162" s="2">
        <f t="shared" si="7"/>
        <v>0</v>
      </c>
      <c r="J162" s="2" t="s">
        <v>1227</v>
      </c>
      <c r="K162" s="2">
        <f t="shared" si="9"/>
        <v>48</v>
      </c>
      <c r="L162" s="2" t="s">
        <v>1167</v>
      </c>
      <c r="M162" s="2"/>
      <c r="N162" s="9" t="s">
        <v>1228</v>
      </c>
      <c r="O162" s="8" t="s">
        <v>1229</v>
      </c>
      <c r="P162" s="8" t="s">
        <v>37</v>
      </c>
      <c r="Q162" s="8" t="s">
        <v>38</v>
      </c>
      <c r="R162" s="8" t="s">
        <v>38</v>
      </c>
      <c r="S162" s="2" t="s">
        <v>1230</v>
      </c>
      <c r="T162" s="2" t="s">
        <v>1231</v>
      </c>
      <c r="U162" s="2">
        <v>35924350</v>
      </c>
      <c r="V162" s="2"/>
      <c r="W162" s="2"/>
      <c r="X162" s="2"/>
      <c r="Y162" s="2" t="s">
        <v>1232</v>
      </c>
      <c r="Z162" s="2" t="s">
        <v>42</v>
      </c>
      <c r="AA162" s="2" t="s">
        <v>1233</v>
      </c>
    </row>
    <row r="163" spans="1:27" x14ac:dyDescent="0.2">
      <c r="A163" s="2" t="s">
        <v>1234</v>
      </c>
      <c r="B163" s="24" t="s">
        <v>1235</v>
      </c>
      <c r="C163" s="24"/>
      <c r="D163" s="2"/>
      <c r="E163" s="6" t="s">
        <v>1226</v>
      </c>
      <c r="F163" s="8" t="s">
        <v>1236</v>
      </c>
      <c r="G163" s="8">
        <f t="shared" si="6"/>
        <v>48</v>
      </c>
      <c r="H163" s="8"/>
      <c r="I163" s="2">
        <f t="shared" si="7"/>
        <v>0</v>
      </c>
      <c r="J163" s="2" t="s">
        <v>1236</v>
      </c>
      <c r="K163" s="2">
        <f t="shared" si="9"/>
        <v>48</v>
      </c>
      <c r="L163" s="2" t="s">
        <v>1167</v>
      </c>
      <c r="M163" s="2"/>
      <c r="N163" s="9" t="s">
        <v>1228</v>
      </c>
      <c r="O163" s="8" t="s">
        <v>1229</v>
      </c>
      <c r="P163" s="8" t="s">
        <v>37</v>
      </c>
      <c r="Q163" s="8" t="s">
        <v>38</v>
      </c>
      <c r="R163" s="8" t="s">
        <v>38</v>
      </c>
      <c r="S163" s="2" t="s">
        <v>1230</v>
      </c>
      <c r="T163" s="2" t="s">
        <v>1231</v>
      </c>
      <c r="U163" s="2">
        <v>35924350</v>
      </c>
      <c r="V163" s="2"/>
      <c r="W163" s="2"/>
      <c r="X163" s="2"/>
      <c r="Y163" s="2" t="s">
        <v>1232</v>
      </c>
      <c r="Z163" s="2" t="s">
        <v>42</v>
      </c>
      <c r="AA163" s="2" t="s">
        <v>1233</v>
      </c>
    </row>
    <row r="164" spans="1:27" x14ac:dyDescent="0.2">
      <c r="A164" s="2" t="s">
        <v>1237</v>
      </c>
      <c r="B164" s="24" t="s">
        <v>1238</v>
      </c>
      <c r="C164" s="24"/>
      <c r="D164" s="2"/>
      <c r="E164" s="6" t="s">
        <v>1226</v>
      </c>
      <c r="F164" s="8" t="s">
        <v>1239</v>
      </c>
      <c r="G164" s="8">
        <f t="shared" si="6"/>
        <v>48</v>
      </c>
      <c r="H164" s="8"/>
      <c r="I164" s="2">
        <f t="shared" si="7"/>
        <v>0</v>
      </c>
      <c r="J164" s="2" t="s">
        <v>1239</v>
      </c>
      <c r="K164" s="2">
        <f t="shared" si="9"/>
        <v>48</v>
      </c>
      <c r="L164" s="2" t="s">
        <v>1167</v>
      </c>
      <c r="M164" s="2"/>
      <c r="N164" s="9" t="s">
        <v>1228</v>
      </c>
      <c r="O164" s="8" t="s">
        <v>1229</v>
      </c>
      <c r="P164" s="8" t="s">
        <v>37</v>
      </c>
      <c r="Q164" s="8" t="s">
        <v>38</v>
      </c>
      <c r="R164" s="8" t="s">
        <v>38</v>
      </c>
      <c r="S164" s="2" t="s">
        <v>1230</v>
      </c>
      <c r="T164" s="2" t="s">
        <v>1231</v>
      </c>
      <c r="U164" s="2">
        <v>35924350</v>
      </c>
      <c r="V164" s="2"/>
      <c r="W164" s="2"/>
      <c r="X164" s="2"/>
      <c r="Y164" s="2" t="s">
        <v>1232</v>
      </c>
      <c r="Z164" s="2" t="s">
        <v>42</v>
      </c>
      <c r="AA164" s="2" t="s">
        <v>1233</v>
      </c>
    </row>
    <row r="165" spans="1:27" x14ac:dyDescent="0.2">
      <c r="A165" s="2" t="s">
        <v>1240</v>
      </c>
      <c r="B165" s="24" t="s">
        <v>1241</v>
      </c>
      <c r="C165" s="24"/>
      <c r="D165" s="2"/>
      <c r="E165" s="6" t="s">
        <v>1226</v>
      </c>
      <c r="F165" s="8" t="s">
        <v>1242</v>
      </c>
      <c r="G165" s="8">
        <f t="shared" si="6"/>
        <v>48</v>
      </c>
      <c r="H165" s="8"/>
      <c r="I165" s="2">
        <f t="shared" si="7"/>
        <v>0</v>
      </c>
      <c r="J165" s="2" t="s">
        <v>1242</v>
      </c>
      <c r="K165" s="2">
        <f t="shared" si="9"/>
        <v>48</v>
      </c>
      <c r="L165" s="2" t="s">
        <v>1167</v>
      </c>
      <c r="M165" s="2"/>
      <c r="N165" s="9" t="s">
        <v>1228</v>
      </c>
      <c r="O165" s="8" t="s">
        <v>1229</v>
      </c>
      <c r="P165" s="8" t="s">
        <v>37</v>
      </c>
      <c r="Q165" s="8" t="s">
        <v>38</v>
      </c>
      <c r="R165" s="8" t="s">
        <v>38</v>
      </c>
      <c r="S165" s="2" t="s">
        <v>1230</v>
      </c>
      <c r="T165" s="2" t="s">
        <v>1231</v>
      </c>
      <c r="U165" s="2">
        <v>35924350</v>
      </c>
      <c r="V165" s="2"/>
      <c r="W165" s="2"/>
      <c r="X165" s="2"/>
      <c r="Y165" s="2" t="s">
        <v>1232</v>
      </c>
      <c r="Z165" s="2" t="s">
        <v>42</v>
      </c>
      <c r="AA165" s="2" t="s">
        <v>1233</v>
      </c>
    </row>
    <row r="166" spans="1:27" x14ac:dyDescent="0.2">
      <c r="A166" s="2" t="s">
        <v>1243</v>
      </c>
      <c r="B166" s="24" t="s">
        <v>1244</v>
      </c>
      <c r="C166" s="24"/>
      <c r="D166" s="2"/>
      <c r="E166" s="6" t="s">
        <v>1226</v>
      </c>
      <c r="F166" s="8" t="s">
        <v>1245</v>
      </c>
      <c r="G166" s="8">
        <f t="shared" si="6"/>
        <v>48</v>
      </c>
      <c r="H166" s="8"/>
      <c r="I166" s="2">
        <f t="shared" si="7"/>
        <v>0</v>
      </c>
      <c r="J166" s="2" t="s">
        <v>1245</v>
      </c>
      <c r="K166" s="2">
        <f t="shared" si="9"/>
        <v>48</v>
      </c>
      <c r="L166" s="2" t="s">
        <v>1167</v>
      </c>
      <c r="M166" s="2"/>
      <c r="N166" s="9" t="s">
        <v>1228</v>
      </c>
      <c r="O166" s="8" t="s">
        <v>1229</v>
      </c>
      <c r="P166" s="8" t="s">
        <v>37</v>
      </c>
      <c r="Q166" s="8" t="s">
        <v>38</v>
      </c>
      <c r="R166" s="8" t="s">
        <v>38</v>
      </c>
      <c r="S166" s="2" t="s">
        <v>1230</v>
      </c>
      <c r="T166" s="2" t="s">
        <v>1231</v>
      </c>
      <c r="U166" s="2">
        <v>35924350</v>
      </c>
      <c r="V166" s="2"/>
      <c r="W166" s="2"/>
      <c r="X166" s="2"/>
      <c r="Y166" s="2" t="s">
        <v>1232</v>
      </c>
      <c r="Z166" s="2" t="s">
        <v>42</v>
      </c>
      <c r="AA166" s="2" t="s">
        <v>1233</v>
      </c>
    </row>
    <row r="167" spans="1:27" x14ac:dyDescent="0.2">
      <c r="A167" s="2" t="s">
        <v>1246</v>
      </c>
      <c r="B167" s="24" t="s">
        <v>1247</v>
      </c>
      <c r="C167" s="24"/>
      <c r="D167" s="2"/>
      <c r="E167" s="6" t="s">
        <v>1226</v>
      </c>
      <c r="F167" s="8" t="s">
        <v>1248</v>
      </c>
      <c r="G167" s="8">
        <f t="shared" si="6"/>
        <v>48</v>
      </c>
      <c r="H167" s="8"/>
      <c r="I167" s="2">
        <f t="shared" si="7"/>
        <v>0</v>
      </c>
      <c r="J167" s="2" t="s">
        <v>1248</v>
      </c>
      <c r="K167" s="2">
        <f t="shared" si="9"/>
        <v>48</v>
      </c>
      <c r="L167" s="2" t="s">
        <v>1167</v>
      </c>
      <c r="M167" s="2"/>
      <c r="N167" s="9" t="s">
        <v>1249</v>
      </c>
      <c r="O167" s="8" t="s">
        <v>1250</v>
      </c>
      <c r="P167" s="8" t="s">
        <v>37</v>
      </c>
      <c r="Q167" s="8" t="s">
        <v>38</v>
      </c>
      <c r="R167" s="8" t="s">
        <v>38</v>
      </c>
      <c r="S167" s="2" t="s">
        <v>1251</v>
      </c>
      <c r="T167" s="2" t="s">
        <v>1252</v>
      </c>
      <c r="U167" s="2">
        <v>36123739</v>
      </c>
      <c r="V167" s="2"/>
      <c r="W167" s="2"/>
      <c r="X167" s="2"/>
      <c r="Y167" s="2" t="s">
        <v>1253</v>
      </c>
      <c r="Z167" s="2" t="s">
        <v>42</v>
      </c>
      <c r="AA167" s="2"/>
    </row>
    <row r="168" spans="1:27" x14ac:dyDescent="0.2">
      <c r="A168" s="2" t="s">
        <v>1254</v>
      </c>
      <c r="B168" s="24" t="s">
        <v>1255</v>
      </c>
      <c r="C168" s="24"/>
      <c r="D168" s="2"/>
      <c r="E168" s="6" t="s">
        <v>1226</v>
      </c>
      <c r="F168" s="8" t="s">
        <v>1256</v>
      </c>
      <c r="G168" s="8">
        <f t="shared" si="6"/>
        <v>48</v>
      </c>
      <c r="H168" s="8"/>
      <c r="I168" s="2">
        <f t="shared" si="7"/>
        <v>0</v>
      </c>
      <c r="J168" s="2" t="s">
        <v>1256</v>
      </c>
      <c r="K168" s="2">
        <f t="shared" si="9"/>
        <v>48</v>
      </c>
      <c r="L168" s="2" t="s">
        <v>1167</v>
      </c>
      <c r="M168" s="2"/>
      <c r="N168" s="9" t="s">
        <v>1249</v>
      </c>
      <c r="O168" s="8" t="s">
        <v>1250</v>
      </c>
      <c r="P168" s="8" t="s">
        <v>37</v>
      </c>
      <c r="Q168" s="8" t="s">
        <v>38</v>
      </c>
      <c r="R168" s="8" t="s">
        <v>38</v>
      </c>
      <c r="S168" s="2" t="s">
        <v>1251</v>
      </c>
      <c r="T168" s="2" t="s">
        <v>1252</v>
      </c>
      <c r="U168" s="2">
        <v>36123739</v>
      </c>
      <c r="V168" s="2"/>
      <c r="W168" s="2"/>
      <c r="X168" s="2"/>
      <c r="Y168" s="2" t="s">
        <v>1253</v>
      </c>
      <c r="Z168" s="2" t="s">
        <v>42</v>
      </c>
      <c r="AA168" s="2"/>
    </row>
    <row r="169" spans="1:27" x14ac:dyDescent="0.2">
      <c r="A169" s="2" t="s">
        <v>1257</v>
      </c>
      <c r="B169" s="24" t="s">
        <v>1258</v>
      </c>
      <c r="C169" s="24"/>
      <c r="D169" s="2"/>
      <c r="E169" s="6" t="s">
        <v>1226</v>
      </c>
      <c r="F169" s="8" t="s">
        <v>1259</v>
      </c>
      <c r="G169" s="8">
        <f t="shared" si="6"/>
        <v>48</v>
      </c>
      <c r="H169" s="8"/>
      <c r="I169" s="2">
        <f t="shared" si="7"/>
        <v>0</v>
      </c>
      <c r="J169" s="2" t="s">
        <v>1259</v>
      </c>
      <c r="K169" s="2">
        <f t="shared" si="9"/>
        <v>48</v>
      </c>
      <c r="L169" s="2" t="s">
        <v>1167</v>
      </c>
      <c r="M169" s="2"/>
      <c r="N169" s="9" t="s">
        <v>1249</v>
      </c>
      <c r="O169" s="8" t="s">
        <v>1250</v>
      </c>
      <c r="P169" s="8" t="s">
        <v>37</v>
      </c>
      <c r="Q169" s="8" t="s">
        <v>38</v>
      </c>
      <c r="R169" s="8" t="s">
        <v>38</v>
      </c>
      <c r="S169" s="2" t="s">
        <v>1251</v>
      </c>
      <c r="T169" s="2" t="s">
        <v>1252</v>
      </c>
      <c r="U169" s="2">
        <v>36123739</v>
      </c>
      <c r="V169" s="2"/>
      <c r="W169" s="2"/>
      <c r="X169" s="2"/>
      <c r="Y169" s="2" t="s">
        <v>1253</v>
      </c>
      <c r="Z169" s="2" t="s">
        <v>42</v>
      </c>
      <c r="AA169" s="2"/>
    </row>
    <row r="170" spans="1:27" x14ac:dyDescent="0.2">
      <c r="A170" s="2" t="s">
        <v>1260</v>
      </c>
      <c r="B170" s="24" t="s">
        <v>1261</v>
      </c>
      <c r="C170" s="24"/>
      <c r="D170" s="2"/>
      <c r="E170" s="6" t="s">
        <v>1226</v>
      </c>
      <c r="F170" s="2" t="s">
        <v>1262</v>
      </c>
      <c r="G170" s="2">
        <f t="shared" si="6"/>
        <v>51</v>
      </c>
      <c r="H170" s="2"/>
      <c r="I170" s="2">
        <f t="shared" si="7"/>
        <v>0</v>
      </c>
      <c r="J170" s="2" t="s">
        <v>1262</v>
      </c>
      <c r="K170" s="2">
        <f t="shared" si="9"/>
        <v>51</v>
      </c>
      <c r="L170" s="2" t="s">
        <v>1167</v>
      </c>
      <c r="M170" s="2"/>
      <c r="N170" s="7" t="s">
        <v>1263</v>
      </c>
      <c r="O170" s="2"/>
      <c r="P170" s="8" t="s">
        <v>37</v>
      </c>
      <c r="Q170" s="8" t="s">
        <v>38</v>
      </c>
      <c r="R170" s="8" t="s">
        <v>38</v>
      </c>
      <c r="S170" s="11" t="s">
        <v>102</v>
      </c>
      <c r="T170" s="2" t="s">
        <v>1264</v>
      </c>
      <c r="U170" s="2">
        <v>12054867</v>
      </c>
      <c r="V170" s="14" t="s">
        <v>1265</v>
      </c>
      <c r="W170" s="2" t="s">
        <v>1266</v>
      </c>
      <c r="X170" s="2"/>
      <c r="Y170" s="2" t="s">
        <v>1267</v>
      </c>
      <c r="Z170" s="2" t="s">
        <v>42</v>
      </c>
      <c r="AA170" s="2"/>
    </row>
    <row r="171" spans="1:27" x14ac:dyDescent="0.2">
      <c r="A171" s="2" t="s">
        <v>1268</v>
      </c>
      <c r="B171" s="24" t="s">
        <v>1269</v>
      </c>
      <c r="C171" s="24"/>
      <c r="D171" s="2"/>
      <c r="E171" s="6" t="s">
        <v>1226</v>
      </c>
      <c r="F171" s="2" t="s">
        <v>1270</v>
      </c>
      <c r="G171" s="2">
        <f t="shared" si="6"/>
        <v>50</v>
      </c>
      <c r="H171" s="2"/>
      <c r="I171" s="2">
        <f t="shared" si="7"/>
        <v>0</v>
      </c>
      <c r="J171" s="2" t="s">
        <v>1270</v>
      </c>
      <c r="K171" s="2">
        <f t="shared" si="9"/>
        <v>50</v>
      </c>
      <c r="L171" s="2" t="s">
        <v>1167</v>
      </c>
      <c r="M171" s="2"/>
      <c r="N171" s="7" t="s">
        <v>1271</v>
      </c>
      <c r="O171" s="2">
        <v>222</v>
      </c>
      <c r="P171" s="8" t="s">
        <v>37</v>
      </c>
      <c r="Q171" s="8" t="s">
        <v>38</v>
      </c>
      <c r="R171" s="8" t="s">
        <v>38</v>
      </c>
      <c r="S171" s="2" t="s">
        <v>1272</v>
      </c>
      <c r="T171" s="2" t="s">
        <v>1273</v>
      </c>
      <c r="U171" s="2">
        <v>26411997</v>
      </c>
      <c r="V171" s="2"/>
      <c r="W171" s="2"/>
      <c r="X171" s="2"/>
      <c r="Y171" s="2" t="s">
        <v>1274</v>
      </c>
      <c r="Z171" s="2" t="s">
        <v>42</v>
      </c>
      <c r="AA171" s="2" t="s">
        <v>1275</v>
      </c>
    </row>
    <row r="172" spans="1:27" x14ac:dyDescent="0.2">
      <c r="A172" s="2" t="s">
        <v>1276</v>
      </c>
      <c r="B172" s="24" t="s">
        <v>1277</v>
      </c>
      <c r="C172" s="24"/>
      <c r="D172" s="2"/>
      <c r="E172" s="6" t="s">
        <v>1226</v>
      </c>
      <c r="F172" s="2" t="s">
        <v>1278</v>
      </c>
      <c r="G172" s="2">
        <f t="shared" si="6"/>
        <v>50</v>
      </c>
      <c r="H172" s="2"/>
      <c r="I172" s="2">
        <f t="shared" si="7"/>
        <v>0</v>
      </c>
      <c r="J172" s="2" t="s">
        <v>1278</v>
      </c>
      <c r="K172" s="2">
        <f t="shared" si="9"/>
        <v>50</v>
      </c>
      <c r="L172" s="2" t="s">
        <v>1167</v>
      </c>
      <c r="M172" s="2"/>
      <c r="N172" s="7" t="s">
        <v>1279</v>
      </c>
      <c r="O172" s="2" t="s">
        <v>1280</v>
      </c>
      <c r="P172" s="8" t="s">
        <v>37</v>
      </c>
      <c r="Q172" s="8" t="s">
        <v>38</v>
      </c>
      <c r="R172" s="8" t="s">
        <v>38</v>
      </c>
      <c r="S172" s="2" t="s">
        <v>1281</v>
      </c>
      <c r="T172" s="2" t="s">
        <v>1282</v>
      </c>
      <c r="U172" s="2">
        <v>31618225</v>
      </c>
      <c r="V172" s="2"/>
      <c r="W172" s="2"/>
      <c r="X172" s="2"/>
      <c r="Y172" s="2" t="s">
        <v>1283</v>
      </c>
      <c r="Z172" s="2" t="s">
        <v>42</v>
      </c>
      <c r="AA172" s="2" t="s">
        <v>1284</v>
      </c>
    </row>
    <row r="173" spans="1:27" x14ac:dyDescent="0.2">
      <c r="A173" s="2" t="s">
        <v>1285</v>
      </c>
      <c r="B173" s="24" t="s">
        <v>1286</v>
      </c>
      <c r="C173" s="24"/>
      <c r="D173" s="2" t="s">
        <v>1287</v>
      </c>
      <c r="E173" s="6" t="s">
        <v>1226</v>
      </c>
      <c r="F173" s="2" t="s">
        <v>1288</v>
      </c>
      <c r="G173" s="2">
        <f t="shared" si="6"/>
        <v>44</v>
      </c>
      <c r="H173" s="2"/>
      <c r="I173" s="2">
        <f t="shared" si="7"/>
        <v>0</v>
      </c>
      <c r="J173" s="2" t="s">
        <v>1288</v>
      </c>
      <c r="K173" s="2">
        <f t="shared" si="9"/>
        <v>44</v>
      </c>
      <c r="L173" s="2" t="s">
        <v>1167</v>
      </c>
      <c r="M173" s="2"/>
      <c r="N173" s="7" t="s">
        <v>1289</v>
      </c>
      <c r="O173" s="2" t="s">
        <v>1290</v>
      </c>
      <c r="P173" s="8" t="s">
        <v>37</v>
      </c>
      <c r="Q173" s="8" t="s">
        <v>38</v>
      </c>
      <c r="R173" s="8" t="s">
        <v>38</v>
      </c>
      <c r="S173" s="2" t="s">
        <v>1291</v>
      </c>
      <c r="T173" s="2" t="s">
        <v>1292</v>
      </c>
      <c r="U173" s="2">
        <v>16194596</v>
      </c>
      <c r="V173" s="2"/>
      <c r="W173" s="2"/>
      <c r="X173" s="2"/>
      <c r="Y173" s="2" t="s">
        <v>1293</v>
      </c>
      <c r="Z173" s="2" t="s">
        <v>42</v>
      </c>
      <c r="AA173" s="1"/>
    </row>
    <row r="174" spans="1:27" x14ac:dyDescent="0.2">
      <c r="A174" s="2" t="s">
        <v>1294</v>
      </c>
      <c r="B174" s="24" t="s">
        <v>1295</v>
      </c>
      <c r="C174" s="24"/>
      <c r="D174" s="2"/>
      <c r="E174" s="6" t="s">
        <v>1226</v>
      </c>
      <c r="F174" s="8" t="s">
        <v>1296</v>
      </c>
      <c r="G174" s="8">
        <f t="shared" si="6"/>
        <v>44</v>
      </c>
      <c r="H174" s="8"/>
      <c r="I174" s="2">
        <f t="shared" si="7"/>
        <v>0</v>
      </c>
      <c r="J174" s="2" t="s">
        <v>1296</v>
      </c>
      <c r="K174" s="2">
        <f t="shared" si="9"/>
        <v>44</v>
      </c>
      <c r="L174" s="2" t="s">
        <v>1167</v>
      </c>
      <c r="M174" s="2"/>
      <c r="N174" s="9" t="s">
        <v>120</v>
      </c>
      <c r="O174" s="8" t="s">
        <v>1297</v>
      </c>
      <c r="P174" s="8" t="s">
        <v>37</v>
      </c>
      <c r="Q174" s="8" t="s">
        <v>38</v>
      </c>
      <c r="R174" s="8" t="s">
        <v>38</v>
      </c>
      <c r="S174" s="2" t="s">
        <v>1298</v>
      </c>
      <c r="T174" s="8" t="s">
        <v>1299</v>
      </c>
      <c r="U174" s="2">
        <v>12620853</v>
      </c>
      <c r="V174" s="2"/>
      <c r="W174" s="2" t="s">
        <v>1300</v>
      </c>
      <c r="X174" s="2"/>
      <c r="Y174" s="2" t="s">
        <v>1301</v>
      </c>
      <c r="Z174" s="2" t="s">
        <v>42</v>
      </c>
      <c r="AA174" s="2"/>
    </row>
    <row r="175" spans="1:27" x14ac:dyDescent="0.2">
      <c r="A175" s="2" t="s">
        <v>1302</v>
      </c>
      <c r="B175" s="24" t="s">
        <v>1303</v>
      </c>
      <c r="C175" s="24"/>
      <c r="D175" s="2"/>
      <c r="E175" s="6" t="s">
        <v>1226</v>
      </c>
      <c r="F175" s="8" t="s">
        <v>1304</v>
      </c>
      <c r="G175" s="8">
        <f t="shared" si="6"/>
        <v>37</v>
      </c>
      <c r="H175" s="8"/>
      <c r="I175" s="2">
        <f t="shared" si="7"/>
        <v>0</v>
      </c>
      <c r="J175" s="2" t="s">
        <v>1304</v>
      </c>
      <c r="K175" s="2">
        <f t="shared" si="9"/>
        <v>37</v>
      </c>
      <c r="L175" s="2" t="s">
        <v>1167</v>
      </c>
      <c r="M175" s="2"/>
      <c r="N175" s="9" t="s">
        <v>1305</v>
      </c>
      <c r="O175" s="8"/>
      <c r="P175" s="8" t="s">
        <v>37</v>
      </c>
      <c r="Q175" s="8" t="s">
        <v>38</v>
      </c>
      <c r="R175" s="8" t="s">
        <v>38</v>
      </c>
      <c r="S175" s="11" t="s">
        <v>102</v>
      </c>
      <c r="T175" s="8" t="s">
        <v>1306</v>
      </c>
      <c r="U175" s="2">
        <v>28515717</v>
      </c>
      <c r="V175" s="2"/>
      <c r="W175" s="2"/>
      <c r="X175" s="2" t="s">
        <v>1307</v>
      </c>
      <c r="Y175" s="2" t="s">
        <v>1308</v>
      </c>
      <c r="Z175" s="2" t="s">
        <v>42</v>
      </c>
      <c r="AA175" s="2"/>
    </row>
    <row r="176" spans="1:27" x14ac:dyDescent="0.2">
      <c r="A176" s="2" t="s">
        <v>1309</v>
      </c>
      <c r="B176" s="24" t="s">
        <v>1310</v>
      </c>
      <c r="C176" s="24"/>
      <c r="D176" s="2"/>
      <c r="E176" s="6" t="s">
        <v>1226</v>
      </c>
      <c r="F176" s="8" t="s">
        <v>1311</v>
      </c>
      <c r="G176" s="8">
        <f t="shared" si="6"/>
        <v>34</v>
      </c>
      <c r="H176" s="8"/>
      <c r="I176" s="2">
        <f t="shared" si="7"/>
        <v>0</v>
      </c>
      <c r="J176" s="2" t="s">
        <v>1311</v>
      </c>
      <c r="K176" s="2">
        <f t="shared" si="9"/>
        <v>34</v>
      </c>
      <c r="L176" s="2" t="s">
        <v>1167</v>
      </c>
      <c r="M176" s="2"/>
      <c r="N176" s="9" t="s">
        <v>83</v>
      </c>
      <c r="O176" s="8" t="s">
        <v>1312</v>
      </c>
      <c r="P176" s="8" t="s">
        <v>37</v>
      </c>
      <c r="Q176" s="8" t="s">
        <v>38</v>
      </c>
      <c r="R176" s="8" t="s">
        <v>38</v>
      </c>
      <c r="S176" s="11" t="s">
        <v>102</v>
      </c>
      <c r="T176" s="8" t="s">
        <v>1313</v>
      </c>
      <c r="U176" s="2">
        <v>11073927</v>
      </c>
      <c r="V176" s="2"/>
      <c r="W176" s="2" t="s">
        <v>1314</v>
      </c>
      <c r="X176" s="2"/>
      <c r="Y176" s="2" t="s">
        <v>1315</v>
      </c>
      <c r="Z176" s="2" t="s">
        <v>42</v>
      </c>
      <c r="AA176" s="2"/>
    </row>
    <row r="177" spans="1:27" x14ac:dyDescent="0.2">
      <c r="A177" s="2" t="s">
        <v>1316</v>
      </c>
      <c r="B177" s="24" t="s">
        <v>1317</v>
      </c>
      <c r="C177" s="24"/>
      <c r="D177" s="2"/>
      <c r="E177" s="6" t="s">
        <v>1226</v>
      </c>
      <c r="F177" s="8" t="s">
        <v>1318</v>
      </c>
      <c r="G177" s="8">
        <f t="shared" si="6"/>
        <v>30</v>
      </c>
      <c r="H177" s="8"/>
      <c r="I177" s="2">
        <f t="shared" si="7"/>
        <v>0</v>
      </c>
      <c r="J177" s="2" t="s">
        <v>1318</v>
      </c>
      <c r="K177" s="2">
        <f t="shared" si="9"/>
        <v>30</v>
      </c>
      <c r="L177" s="2" t="s">
        <v>1167</v>
      </c>
      <c r="M177" s="2"/>
      <c r="N177" s="9" t="s">
        <v>511</v>
      </c>
      <c r="O177" s="8" t="s">
        <v>1319</v>
      </c>
      <c r="P177" s="8" t="s">
        <v>37</v>
      </c>
      <c r="Q177" s="8" t="s">
        <v>38</v>
      </c>
      <c r="R177" s="8" t="s">
        <v>38</v>
      </c>
      <c r="S177" s="11" t="s">
        <v>1320</v>
      </c>
      <c r="T177" s="8" t="s">
        <v>1321</v>
      </c>
      <c r="U177" s="2">
        <v>23519163</v>
      </c>
      <c r="V177" s="2" t="s">
        <v>1322</v>
      </c>
      <c r="W177" s="2" t="s">
        <v>1323</v>
      </c>
      <c r="X177" s="2"/>
      <c r="Y177" s="2" t="s">
        <v>1324</v>
      </c>
      <c r="Z177" s="2" t="s">
        <v>42</v>
      </c>
      <c r="AA177" s="2"/>
    </row>
    <row r="178" spans="1:27" x14ac:dyDescent="0.2">
      <c r="A178" s="2" t="s">
        <v>1325</v>
      </c>
      <c r="B178" s="24" t="s">
        <v>1326</v>
      </c>
      <c r="C178" s="24"/>
      <c r="D178" s="2"/>
      <c r="E178" s="6" t="s">
        <v>1226</v>
      </c>
      <c r="F178" s="8" t="s">
        <v>1327</v>
      </c>
      <c r="G178" s="8">
        <f t="shared" ref="G178:G241" si="10">LEN(F178)</f>
        <v>53</v>
      </c>
      <c r="H178" s="8"/>
      <c r="I178" s="2">
        <f t="shared" si="7"/>
        <v>0</v>
      </c>
      <c r="J178" s="2" t="s">
        <v>1327</v>
      </c>
      <c r="K178" s="2">
        <f t="shared" si="9"/>
        <v>53</v>
      </c>
      <c r="L178" s="2" t="s">
        <v>1167</v>
      </c>
      <c r="M178" s="2"/>
      <c r="N178" s="9" t="s">
        <v>511</v>
      </c>
      <c r="O178" s="8" t="s">
        <v>1328</v>
      </c>
      <c r="P178" s="8" t="s">
        <v>37</v>
      </c>
      <c r="Q178" s="8" t="s">
        <v>38</v>
      </c>
      <c r="R178" s="8" t="s">
        <v>38</v>
      </c>
      <c r="S178" s="2" t="s">
        <v>1329</v>
      </c>
      <c r="T178" s="8" t="s">
        <v>1330</v>
      </c>
      <c r="U178" s="2">
        <v>17351096</v>
      </c>
      <c r="V178" s="2" t="s">
        <v>1331</v>
      </c>
      <c r="W178" s="2" t="s">
        <v>1332</v>
      </c>
      <c r="X178" s="2"/>
      <c r="Y178" s="2" t="s">
        <v>1333</v>
      </c>
      <c r="Z178" s="2" t="s">
        <v>42</v>
      </c>
      <c r="AA178" s="2"/>
    </row>
    <row r="179" spans="1:27" x14ac:dyDescent="0.2">
      <c r="A179" s="2" t="s">
        <v>1334</v>
      </c>
      <c r="B179" s="24" t="s">
        <v>1335</v>
      </c>
      <c r="C179" s="24"/>
      <c r="D179" s="2"/>
      <c r="E179" s="6" t="s">
        <v>1226</v>
      </c>
      <c r="F179" s="8" t="s">
        <v>1336</v>
      </c>
      <c r="G179" s="8">
        <f t="shared" si="10"/>
        <v>53</v>
      </c>
      <c r="H179" s="8"/>
      <c r="I179" s="2">
        <f t="shared" si="7"/>
        <v>0</v>
      </c>
      <c r="J179" s="2" t="s">
        <v>1336</v>
      </c>
      <c r="K179" s="2">
        <f t="shared" si="9"/>
        <v>53</v>
      </c>
      <c r="L179" s="2" t="s">
        <v>1167</v>
      </c>
      <c r="M179" s="2"/>
      <c r="N179" s="9" t="s">
        <v>511</v>
      </c>
      <c r="O179" s="8" t="s">
        <v>1337</v>
      </c>
      <c r="P179" s="8" t="s">
        <v>37</v>
      </c>
      <c r="Q179" s="8" t="s">
        <v>38</v>
      </c>
      <c r="R179" s="8" t="s">
        <v>38</v>
      </c>
      <c r="S179" s="2" t="s">
        <v>1338</v>
      </c>
      <c r="T179" s="8" t="s">
        <v>1339</v>
      </c>
      <c r="U179" s="2">
        <v>17690480</v>
      </c>
      <c r="V179" s="2"/>
      <c r="W179" s="2"/>
      <c r="X179" s="2"/>
      <c r="Y179" s="2" t="s">
        <v>1340</v>
      </c>
      <c r="Z179" s="2" t="s">
        <v>42</v>
      </c>
      <c r="AA179" s="2"/>
    </row>
    <row r="180" spans="1:27" x14ac:dyDescent="0.2">
      <c r="A180" s="2" t="s">
        <v>1341</v>
      </c>
      <c r="B180" s="24" t="s">
        <v>1342</v>
      </c>
      <c r="C180" s="24"/>
      <c r="D180" s="2"/>
      <c r="E180" s="6" t="s">
        <v>1226</v>
      </c>
      <c r="F180" s="8" t="s">
        <v>1343</v>
      </c>
      <c r="G180" s="8">
        <f t="shared" si="10"/>
        <v>48</v>
      </c>
      <c r="H180" s="8"/>
      <c r="I180" s="2">
        <f t="shared" si="7"/>
        <v>0</v>
      </c>
      <c r="J180" s="2" t="s">
        <v>1343</v>
      </c>
      <c r="K180" s="2">
        <f t="shared" si="9"/>
        <v>48</v>
      </c>
      <c r="L180" s="2" t="s">
        <v>1167</v>
      </c>
      <c r="M180" s="2"/>
      <c r="N180" s="9" t="s">
        <v>1344</v>
      </c>
      <c r="O180" s="8" t="s">
        <v>1345</v>
      </c>
      <c r="P180" s="8" t="s">
        <v>37</v>
      </c>
      <c r="Q180" s="8" t="s">
        <v>38</v>
      </c>
      <c r="R180" s="8" t="s">
        <v>38</v>
      </c>
      <c r="S180" s="2" t="s">
        <v>1346</v>
      </c>
      <c r="T180" s="8" t="s">
        <v>1347</v>
      </c>
      <c r="U180" s="2">
        <v>36000904</v>
      </c>
      <c r="V180" s="2"/>
      <c r="W180" s="2"/>
      <c r="X180" s="2"/>
      <c r="Y180" s="2" t="s">
        <v>1348</v>
      </c>
      <c r="Z180" s="2" t="s">
        <v>42</v>
      </c>
      <c r="AA180" s="2" t="s">
        <v>1233</v>
      </c>
    </row>
    <row r="181" spans="1:27" x14ac:dyDescent="0.2">
      <c r="A181" s="2" t="s">
        <v>1349</v>
      </c>
      <c r="B181" s="24" t="s">
        <v>1350</v>
      </c>
      <c r="C181" s="24"/>
      <c r="D181" s="2"/>
      <c r="E181" s="6" t="s">
        <v>1226</v>
      </c>
      <c r="F181" s="8" t="s">
        <v>1351</v>
      </c>
      <c r="G181" s="8">
        <f t="shared" si="10"/>
        <v>48</v>
      </c>
      <c r="H181" s="8"/>
      <c r="I181" s="2">
        <f t="shared" si="7"/>
        <v>0</v>
      </c>
      <c r="J181" s="2" t="s">
        <v>1351</v>
      </c>
      <c r="K181" s="2">
        <f t="shared" si="9"/>
        <v>48</v>
      </c>
      <c r="L181" s="2" t="s">
        <v>1167</v>
      </c>
      <c r="M181" s="2"/>
      <c r="N181" s="9" t="s">
        <v>1344</v>
      </c>
      <c r="O181" s="8" t="s">
        <v>1345</v>
      </c>
      <c r="P181" s="8" t="s">
        <v>37</v>
      </c>
      <c r="Q181" s="8" t="s">
        <v>38</v>
      </c>
      <c r="R181" s="8" t="s">
        <v>38</v>
      </c>
      <c r="S181" s="2" t="s">
        <v>1346</v>
      </c>
      <c r="T181" s="8" t="s">
        <v>1347</v>
      </c>
      <c r="U181" s="2">
        <v>36000904</v>
      </c>
      <c r="V181" s="2"/>
      <c r="W181" s="2"/>
      <c r="X181" s="2"/>
      <c r="Y181" s="2" t="s">
        <v>1348</v>
      </c>
      <c r="Z181" s="2" t="s">
        <v>42</v>
      </c>
      <c r="AA181" s="2" t="s">
        <v>1233</v>
      </c>
    </row>
    <row r="182" spans="1:27" x14ac:dyDescent="0.2">
      <c r="A182" s="2" t="s">
        <v>1352</v>
      </c>
      <c r="B182" s="24" t="s">
        <v>1353</v>
      </c>
      <c r="C182" s="24"/>
      <c r="D182" s="2"/>
      <c r="E182" s="6" t="s">
        <v>1226</v>
      </c>
      <c r="F182" s="8" t="s">
        <v>1354</v>
      </c>
      <c r="G182" s="8">
        <f t="shared" si="10"/>
        <v>48</v>
      </c>
      <c r="H182" s="8"/>
      <c r="I182" s="2">
        <f t="shared" si="7"/>
        <v>0</v>
      </c>
      <c r="J182" s="2" t="s">
        <v>1354</v>
      </c>
      <c r="K182" s="2">
        <f t="shared" si="9"/>
        <v>48</v>
      </c>
      <c r="L182" s="2" t="s">
        <v>1167</v>
      </c>
      <c r="M182" s="2"/>
      <c r="N182" s="9" t="s">
        <v>1344</v>
      </c>
      <c r="O182" s="8" t="s">
        <v>1345</v>
      </c>
      <c r="P182" s="8" t="s">
        <v>37</v>
      </c>
      <c r="Q182" s="8" t="s">
        <v>38</v>
      </c>
      <c r="R182" s="8" t="s">
        <v>38</v>
      </c>
      <c r="S182" s="2" t="s">
        <v>1346</v>
      </c>
      <c r="T182" s="8" t="s">
        <v>1347</v>
      </c>
      <c r="U182" s="2">
        <v>36000904</v>
      </c>
      <c r="V182" s="2"/>
      <c r="W182" s="2"/>
      <c r="X182" s="2"/>
      <c r="Y182" s="2" t="s">
        <v>1348</v>
      </c>
      <c r="Z182" s="2" t="s">
        <v>42</v>
      </c>
      <c r="AA182" s="2" t="s">
        <v>1233</v>
      </c>
    </row>
    <row r="183" spans="1:27" x14ac:dyDescent="0.2">
      <c r="A183" s="2" t="s">
        <v>1355</v>
      </c>
      <c r="B183" s="24" t="s">
        <v>1356</v>
      </c>
      <c r="C183" s="24"/>
      <c r="D183" s="2"/>
      <c r="E183" s="6" t="s">
        <v>1226</v>
      </c>
      <c r="F183" s="8" t="s">
        <v>1357</v>
      </c>
      <c r="G183" s="8">
        <f t="shared" si="10"/>
        <v>48</v>
      </c>
      <c r="H183" s="8"/>
      <c r="I183" s="2">
        <f t="shared" si="7"/>
        <v>0</v>
      </c>
      <c r="J183" s="2" t="s">
        <v>1357</v>
      </c>
      <c r="K183" s="2">
        <f t="shared" si="9"/>
        <v>48</v>
      </c>
      <c r="L183" s="2" t="s">
        <v>1167</v>
      </c>
      <c r="M183" s="2"/>
      <c r="N183" s="9" t="s">
        <v>1344</v>
      </c>
      <c r="O183" s="8" t="s">
        <v>1345</v>
      </c>
      <c r="P183" s="8" t="s">
        <v>37</v>
      </c>
      <c r="Q183" s="8" t="s">
        <v>38</v>
      </c>
      <c r="R183" s="8" t="s">
        <v>38</v>
      </c>
      <c r="S183" s="2" t="s">
        <v>1346</v>
      </c>
      <c r="T183" s="8" t="s">
        <v>1347</v>
      </c>
      <c r="U183" s="2">
        <v>36000904</v>
      </c>
      <c r="V183" s="2"/>
      <c r="W183" s="2"/>
      <c r="X183" s="2"/>
      <c r="Y183" s="2" t="s">
        <v>1348</v>
      </c>
      <c r="Z183" s="2" t="s">
        <v>42</v>
      </c>
      <c r="AA183" s="2" t="s">
        <v>1233</v>
      </c>
    </row>
    <row r="184" spans="1:27" x14ac:dyDescent="0.2">
      <c r="A184" s="2" t="s">
        <v>1358</v>
      </c>
      <c r="B184" s="24" t="s">
        <v>1359</v>
      </c>
      <c r="C184" s="24"/>
      <c r="D184" s="2"/>
      <c r="E184" s="6" t="s">
        <v>1226</v>
      </c>
      <c r="F184" s="2" t="s">
        <v>1360</v>
      </c>
      <c r="G184" s="8">
        <f t="shared" si="10"/>
        <v>70</v>
      </c>
      <c r="H184" s="8"/>
      <c r="I184" s="2">
        <f t="shared" si="7"/>
        <v>0</v>
      </c>
      <c r="J184" s="2" t="s">
        <v>1360</v>
      </c>
      <c r="K184" s="2">
        <f t="shared" si="9"/>
        <v>70</v>
      </c>
      <c r="L184" s="2" t="s">
        <v>1167</v>
      </c>
      <c r="M184" s="2"/>
      <c r="N184" s="9" t="s">
        <v>1361</v>
      </c>
      <c r="O184" s="8" t="s">
        <v>1362</v>
      </c>
      <c r="P184" s="8" t="s">
        <v>37</v>
      </c>
      <c r="Q184" s="8" t="s">
        <v>38</v>
      </c>
      <c r="R184" s="8" t="s">
        <v>38</v>
      </c>
      <c r="S184" s="2" t="s">
        <v>1363</v>
      </c>
      <c r="T184" s="8" t="s">
        <v>1364</v>
      </c>
      <c r="U184" s="2">
        <v>33811023</v>
      </c>
      <c r="V184" s="2"/>
      <c r="W184" s="2"/>
      <c r="X184" s="2"/>
      <c r="Y184" s="2" t="s">
        <v>1365</v>
      </c>
      <c r="Z184" s="2" t="s">
        <v>42</v>
      </c>
      <c r="AA184" s="2" t="s">
        <v>1233</v>
      </c>
    </row>
    <row r="185" spans="1:27" x14ac:dyDescent="0.2">
      <c r="A185" s="2" t="s">
        <v>1366</v>
      </c>
      <c r="B185" s="24" t="s">
        <v>1367</v>
      </c>
      <c r="C185" s="24"/>
      <c r="D185" s="2"/>
      <c r="E185" s="6" t="s">
        <v>1226</v>
      </c>
      <c r="F185" s="8" t="s">
        <v>1368</v>
      </c>
      <c r="G185" s="8">
        <f t="shared" si="10"/>
        <v>51</v>
      </c>
      <c r="H185" s="8"/>
      <c r="I185" s="2">
        <f t="shared" si="7"/>
        <v>0</v>
      </c>
      <c r="J185" s="2" t="s">
        <v>1368</v>
      </c>
      <c r="K185" s="2">
        <f t="shared" si="9"/>
        <v>51</v>
      </c>
      <c r="L185" s="2" t="s">
        <v>1167</v>
      </c>
      <c r="M185" s="2"/>
      <c r="N185" s="9" t="s">
        <v>1369</v>
      </c>
      <c r="O185" s="8">
        <v>224</v>
      </c>
      <c r="P185" s="8" t="s">
        <v>37</v>
      </c>
      <c r="Q185" s="8" t="s">
        <v>38</v>
      </c>
      <c r="R185" s="8" t="s">
        <v>38</v>
      </c>
      <c r="S185" s="11" t="s">
        <v>102</v>
      </c>
      <c r="T185" s="8" t="s">
        <v>1370</v>
      </c>
      <c r="U185" s="2">
        <v>22155816</v>
      </c>
      <c r="V185" s="2"/>
      <c r="W185" s="2"/>
      <c r="X185" s="2"/>
      <c r="Y185" s="2" t="s">
        <v>1371</v>
      </c>
      <c r="Z185" s="2" t="s">
        <v>42</v>
      </c>
      <c r="AA185" s="2"/>
    </row>
    <row r="186" spans="1:27" x14ac:dyDescent="0.2">
      <c r="A186" s="2" t="s">
        <v>1372</v>
      </c>
      <c r="B186" s="24" t="s">
        <v>1373</v>
      </c>
      <c r="C186" s="24"/>
      <c r="D186" s="2"/>
      <c r="E186" s="6" t="s">
        <v>1226</v>
      </c>
      <c r="F186" s="8" t="s">
        <v>1374</v>
      </c>
      <c r="G186" s="8">
        <f t="shared" si="10"/>
        <v>43</v>
      </c>
      <c r="H186" s="8"/>
      <c r="I186" s="2">
        <f t="shared" si="7"/>
        <v>0</v>
      </c>
      <c r="J186" s="2" t="s">
        <v>1374</v>
      </c>
      <c r="K186" s="2">
        <f t="shared" si="9"/>
        <v>43</v>
      </c>
      <c r="L186" s="2" t="s">
        <v>1167</v>
      </c>
      <c r="M186" s="2"/>
      <c r="N186" s="9" t="s">
        <v>511</v>
      </c>
      <c r="O186" s="8" t="s">
        <v>1375</v>
      </c>
      <c r="P186" s="8" t="s">
        <v>37</v>
      </c>
      <c r="Q186" s="8" t="s">
        <v>38</v>
      </c>
      <c r="R186" s="8" t="s">
        <v>38</v>
      </c>
      <c r="S186" s="2" t="s">
        <v>1376</v>
      </c>
      <c r="T186" s="8" t="s">
        <v>1377</v>
      </c>
      <c r="U186" s="2">
        <v>28842543</v>
      </c>
      <c r="V186" s="2"/>
      <c r="W186" s="2"/>
      <c r="X186" s="2"/>
      <c r="Y186" s="2" t="s">
        <v>1378</v>
      </c>
      <c r="Z186" s="2" t="s">
        <v>42</v>
      </c>
      <c r="AA186" s="2"/>
    </row>
    <row r="187" spans="1:27" x14ac:dyDescent="0.2">
      <c r="A187" s="2" t="s">
        <v>1379</v>
      </c>
      <c r="B187" s="24" t="s">
        <v>1380</v>
      </c>
      <c r="C187" s="24"/>
      <c r="D187" s="2"/>
      <c r="E187" s="6" t="s">
        <v>1226</v>
      </c>
      <c r="F187" s="8" t="s">
        <v>1381</v>
      </c>
      <c r="G187" s="8">
        <f t="shared" si="10"/>
        <v>42</v>
      </c>
      <c r="H187" s="8"/>
      <c r="I187" s="2">
        <f t="shared" si="7"/>
        <v>0</v>
      </c>
      <c r="J187" s="2" t="s">
        <v>1381</v>
      </c>
      <c r="K187" s="2">
        <f t="shared" si="9"/>
        <v>42</v>
      </c>
      <c r="L187" s="2" t="s">
        <v>1167</v>
      </c>
      <c r="M187" s="2"/>
      <c r="N187" s="9" t="s">
        <v>1382</v>
      </c>
      <c r="O187" s="8" t="s">
        <v>1383</v>
      </c>
      <c r="P187" s="8" t="s">
        <v>37</v>
      </c>
      <c r="Q187" s="8" t="s">
        <v>38</v>
      </c>
      <c r="R187" s="8" t="s">
        <v>38</v>
      </c>
      <c r="S187" s="2" t="s">
        <v>1384</v>
      </c>
      <c r="T187" s="8" t="s">
        <v>1385</v>
      </c>
      <c r="U187" s="2">
        <v>22008177</v>
      </c>
      <c r="V187" s="2"/>
      <c r="W187" s="2"/>
      <c r="X187" s="2"/>
      <c r="Y187" s="2" t="s">
        <v>1386</v>
      </c>
      <c r="Z187" s="2" t="s">
        <v>42</v>
      </c>
      <c r="AA187" s="2"/>
    </row>
    <row r="188" spans="1:27" x14ac:dyDescent="0.2">
      <c r="A188" s="2" t="s">
        <v>1387</v>
      </c>
      <c r="B188" s="24" t="s">
        <v>1388</v>
      </c>
      <c r="C188" s="24"/>
      <c r="D188" s="2"/>
      <c r="E188" s="6" t="s">
        <v>1226</v>
      </c>
      <c r="F188" s="8" t="s">
        <v>1389</v>
      </c>
      <c r="G188" s="8">
        <f t="shared" si="10"/>
        <v>43</v>
      </c>
      <c r="H188" s="8"/>
      <c r="I188" s="2">
        <f t="shared" si="7"/>
        <v>0</v>
      </c>
      <c r="J188" s="2" t="s">
        <v>1389</v>
      </c>
      <c r="K188" s="2">
        <f t="shared" si="9"/>
        <v>43</v>
      </c>
      <c r="L188" s="2" t="s">
        <v>1167</v>
      </c>
      <c r="M188" s="2"/>
      <c r="N188" s="9" t="s">
        <v>1382</v>
      </c>
      <c r="O188" s="8" t="s">
        <v>1383</v>
      </c>
      <c r="P188" s="8" t="s">
        <v>37</v>
      </c>
      <c r="Q188" s="8" t="s">
        <v>38</v>
      </c>
      <c r="R188" s="8" t="s">
        <v>38</v>
      </c>
      <c r="S188" s="2" t="s">
        <v>1384</v>
      </c>
      <c r="T188" s="8" t="s">
        <v>1385</v>
      </c>
      <c r="U188" s="2">
        <v>22008177</v>
      </c>
      <c r="V188" s="2"/>
      <c r="W188" s="2"/>
      <c r="X188" s="2"/>
      <c r="Y188" s="2" t="s">
        <v>1386</v>
      </c>
      <c r="Z188" s="2" t="s">
        <v>42</v>
      </c>
      <c r="AA188" s="2"/>
    </row>
    <row r="189" spans="1:27" x14ac:dyDescent="0.2">
      <c r="A189" s="2" t="s">
        <v>1390</v>
      </c>
      <c r="B189" s="24" t="s">
        <v>1391</v>
      </c>
      <c r="C189" s="24"/>
      <c r="D189" s="2"/>
      <c r="E189" s="6" t="s">
        <v>1226</v>
      </c>
      <c r="F189" s="8" t="s">
        <v>1392</v>
      </c>
      <c r="G189" s="8">
        <f t="shared" si="10"/>
        <v>25</v>
      </c>
      <c r="H189" s="8"/>
      <c r="I189" s="2">
        <f t="shared" si="7"/>
        <v>0</v>
      </c>
      <c r="J189" s="2" t="s">
        <v>1392</v>
      </c>
      <c r="K189" s="2">
        <f t="shared" si="9"/>
        <v>25</v>
      </c>
      <c r="L189" s="2" t="s">
        <v>1167</v>
      </c>
      <c r="M189" s="2"/>
      <c r="N189" s="9" t="s">
        <v>1393</v>
      </c>
      <c r="O189" s="8"/>
      <c r="P189" s="8" t="s">
        <v>37</v>
      </c>
      <c r="Q189" s="8" t="s">
        <v>38</v>
      </c>
      <c r="R189" s="8" t="s">
        <v>38</v>
      </c>
      <c r="S189" s="11" t="s">
        <v>102</v>
      </c>
      <c r="T189" s="8" t="s">
        <v>1394</v>
      </c>
      <c r="U189" s="2">
        <v>18339450</v>
      </c>
      <c r="V189" s="2"/>
      <c r="W189" s="2"/>
      <c r="X189" s="2"/>
      <c r="Y189" s="2" t="s">
        <v>1395</v>
      </c>
      <c r="Z189" s="2" t="s">
        <v>42</v>
      </c>
      <c r="AA189" s="2"/>
    </row>
    <row r="190" spans="1:27" x14ac:dyDescent="0.2">
      <c r="A190" s="2" t="s">
        <v>1396</v>
      </c>
      <c r="B190" s="24" t="s">
        <v>1397</v>
      </c>
      <c r="C190" s="24"/>
      <c r="D190" s="2"/>
      <c r="E190" s="6" t="s">
        <v>1226</v>
      </c>
      <c r="F190" s="8" t="s">
        <v>1398</v>
      </c>
      <c r="G190" s="8">
        <f t="shared" si="10"/>
        <v>22</v>
      </c>
      <c r="H190" s="8"/>
      <c r="I190" s="2">
        <f t="shared" si="7"/>
        <v>0</v>
      </c>
      <c r="J190" s="2" t="s">
        <v>1398</v>
      </c>
      <c r="K190" s="2">
        <f t="shared" si="9"/>
        <v>22</v>
      </c>
      <c r="L190" s="2" t="s">
        <v>1167</v>
      </c>
      <c r="M190" s="2"/>
      <c r="N190" s="9" t="s">
        <v>1393</v>
      </c>
      <c r="O190" s="8"/>
      <c r="P190" s="8" t="s">
        <v>37</v>
      </c>
      <c r="Q190" s="8" t="s">
        <v>38</v>
      </c>
      <c r="R190" s="8" t="s">
        <v>38</v>
      </c>
      <c r="S190" s="11" t="s">
        <v>102</v>
      </c>
      <c r="T190" s="8" t="s">
        <v>1394</v>
      </c>
      <c r="U190" s="2">
        <v>18339450</v>
      </c>
      <c r="V190" s="2"/>
      <c r="W190" s="2"/>
      <c r="X190" s="2"/>
      <c r="Y190" s="2" t="s">
        <v>1395</v>
      </c>
      <c r="Z190" s="2" t="s">
        <v>42</v>
      </c>
      <c r="AA190" s="2"/>
    </row>
    <row r="191" spans="1:27" x14ac:dyDescent="0.2">
      <c r="A191" s="2" t="s">
        <v>1399</v>
      </c>
      <c r="B191" s="24" t="s">
        <v>1400</v>
      </c>
      <c r="C191" s="24"/>
      <c r="D191" s="2"/>
      <c r="E191" s="15" t="s">
        <v>1401</v>
      </c>
      <c r="F191" s="2" t="s">
        <v>1402</v>
      </c>
      <c r="G191" s="8">
        <f t="shared" si="10"/>
        <v>27</v>
      </c>
      <c r="H191" s="8"/>
      <c r="I191" s="2">
        <f t="shared" si="7"/>
        <v>0</v>
      </c>
      <c r="J191" s="2" t="s">
        <v>1402</v>
      </c>
      <c r="K191" s="2">
        <f t="shared" si="9"/>
        <v>27</v>
      </c>
      <c r="L191" s="2" t="s">
        <v>1167</v>
      </c>
      <c r="M191" s="2"/>
      <c r="N191" s="7" t="s">
        <v>1067</v>
      </c>
      <c r="O191" s="2"/>
      <c r="P191" s="8" t="s">
        <v>37</v>
      </c>
      <c r="Q191" s="8" t="s">
        <v>38</v>
      </c>
      <c r="R191" s="8" t="s">
        <v>38</v>
      </c>
      <c r="S191" s="2" t="s">
        <v>1403</v>
      </c>
      <c r="T191" s="2" t="s">
        <v>1404</v>
      </c>
      <c r="U191" s="2">
        <v>10678168</v>
      </c>
      <c r="V191" s="2"/>
      <c r="W191" s="2"/>
      <c r="X191" s="2"/>
      <c r="Y191" s="2" t="s">
        <v>1405</v>
      </c>
      <c r="Z191" s="2" t="s">
        <v>42</v>
      </c>
      <c r="AA191" s="2" t="s">
        <v>1406</v>
      </c>
    </row>
    <row r="192" spans="1:27" x14ac:dyDescent="0.2">
      <c r="A192" s="2" t="s">
        <v>1407</v>
      </c>
      <c r="B192" s="24" t="s">
        <v>1408</v>
      </c>
      <c r="C192" s="24"/>
      <c r="D192" s="2"/>
      <c r="E192" s="6" t="s">
        <v>1226</v>
      </c>
      <c r="F192" s="8" t="s">
        <v>1409</v>
      </c>
      <c r="G192" s="8">
        <f t="shared" si="10"/>
        <v>50</v>
      </c>
      <c r="H192" s="8"/>
      <c r="I192" s="2">
        <f t="shared" si="7"/>
        <v>0</v>
      </c>
      <c r="J192" s="2" t="s">
        <v>1410</v>
      </c>
      <c r="K192" s="2">
        <f t="shared" si="9"/>
        <v>50</v>
      </c>
      <c r="L192" s="2" t="s">
        <v>1167</v>
      </c>
      <c r="M192" s="2"/>
      <c r="N192" s="9" t="s">
        <v>1411</v>
      </c>
      <c r="O192" s="8" t="s">
        <v>1412</v>
      </c>
      <c r="P192" s="8" t="s">
        <v>37</v>
      </c>
      <c r="Q192" s="8" t="s">
        <v>38</v>
      </c>
      <c r="R192" s="8" t="s">
        <v>38</v>
      </c>
      <c r="S192" s="2" t="s">
        <v>1413</v>
      </c>
      <c r="T192" s="2" t="s">
        <v>1414</v>
      </c>
      <c r="U192" s="2">
        <v>22403615</v>
      </c>
      <c r="V192" s="2" t="s">
        <v>1415</v>
      </c>
      <c r="W192" s="2"/>
      <c r="X192" s="2"/>
      <c r="Y192" s="2" t="s">
        <v>1416</v>
      </c>
      <c r="Z192" s="2" t="s">
        <v>42</v>
      </c>
      <c r="AA192" s="2" t="s">
        <v>1417</v>
      </c>
    </row>
    <row r="193" spans="1:27" x14ac:dyDescent="0.2">
      <c r="A193" s="2" t="s">
        <v>1418</v>
      </c>
      <c r="B193" s="24" t="s">
        <v>1419</v>
      </c>
      <c r="C193" s="24"/>
      <c r="D193" s="2"/>
      <c r="E193" s="6" t="s">
        <v>1226</v>
      </c>
      <c r="F193" s="8" t="s">
        <v>1420</v>
      </c>
      <c r="G193" s="8">
        <f t="shared" si="10"/>
        <v>54</v>
      </c>
      <c r="H193" s="8"/>
      <c r="I193" s="2">
        <f t="shared" si="7"/>
        <v>0</v>
      </c>
      <c r="J193" s="2" t="s">
        <v>1421</v>
      </c>
      <c r="K193" s="2">
        <f t="shared" si="9"/>
        <v>54</v>
      </c>
      <c r="L193" s="2" t="s">
        <v>1167</v>
      </c>
      <c r="M193" s="2"/>
      <c r="N193" s="9" t="s">
        <v>1422</v>
      </c>
      <c r="O193" s="8" t="s">
        <v>1423</v>
      </c>
      <c r="P193" s="8" t="s">
        <v>37</v>
      </c>
      <c r="Q193" s="8" t="s">
        <v>38</v>
      </c>
      <c r="R193" s="8" t="s">
        <v>38</v>
      </c>
      <c r="S193" s="11" t="s">
        <v>102</v>
      </c>
      <c r="T193" s="8" t="s">
        <v>1424</v>
      </c>
      <c r="U193" s="2">
        <v>27267959</v>
      </c>
      <c r="V193" s="2"/>
      <c r="W193" s="2"/>
      <c r="X193" s="2"/>
      <c r="Y193" s="2" t="s">
        <v>1425</v>
      </c>
      <c r="Z193" s="2" t="s">
        <v>42</v>
      </c>
      <c r="AA193" s="2" t="s">
        <v>1426</v>
      </c>
    </row>
    <row r="194" spans="1:27" x14ac:dyDescent="0.2">
      <c r="A194" s="2" t="s">
        <v>1427</v>
      </c>
      <c r="B194" s="24" t="s">
        <v>1428</v>
      </c>
      <c r="C194" s="8" t="s">
        <v>1429</v>
      </c>
      <c r="D194" s="8"/>
      <c r="E194" s="6" t="s">
        <v>1226</v>
      </c>
      <c r="F194" s="8" t="s">
        <v>1430</v>
      </c>
      <c r="G194" s="8">
        <f t="shared" si="10"/>
        <v>44</v>
      </c>
      <c r="H194" s="8"/>
      <c r="I194" s="2">
        <f t="shared" si="7"/>
        <v>0</v>
      </c>
      <c r="J194" s="2" t="s">
        <v>1430</v>
      </c>
      <c r="K194" s="2">
        <f t="shared" si="9"/>
        <v>44</v>
      </c>
      <c r="L194" s="2" t="s">
        <v>1167</v>
      </c>
      <c r="M194" s="2"/>
      <c r="N194" s="25" t="s">
        <v>120</v>
      </c>
      <c r="O194" s="26" t="s">
        <v>1312</v>
      </c>
      <c r="P194" s="8" t="s">
        <v>37</v>
      </c>
      <c r="Q194" s="8" t="s">
        <v>38</v>
      </c>
      <c r="R194" s="8" t="s">
        <v>38</v>
      </c>
      <c r="S194" s="24" t="s">
        <v>1431</v>
      </c>
      <c r="T194" s="24" t="s">
        <v>1432</v>
      </c>
      <c r="U194" s="24">
        <v>9555877</v>
      </c>
      <c r="V194" s="2"/>
      <c r="W194" s="2" t="s">
        <v>1433</v>
      </c>
      <c r="X194" s="2"/>
      <c r="Y194" s="26" t="s">
        <v>1434</v>
      </c>
      <c r="Z194" s="2" t="s">
        <v>42</v>
      </c>
      <c r="AA194" s="24" t="s">
        <v>1435</v>
      </c>
    </row>
    <row r="195" spans="1:27" x14ac:dyDescent="0.2">
      <c r="A195" s="2" t="s">
        <v>1436</v>
      </c>
      <c r="B195" s="24"/>
      <c r="C195" s="8" t="s">
        <v>1437</v>
      </c>
      <c r="D195" s="8"/>
      <c r="E195" s="6" t="s">
        <v>1226</v>
      </c>
      <c r="F195" s="8" t="s">
        <v>1438</v>
      </c>
      <c r="G195" s="8">
        <f t="shared" si="10"/>
        <v>43</v>
      </c>
      <c r="H195" s="8"/>
      <c r="I195" s="2">
        <f t="shared" si="7"/>
        <v>0</v>
      </c>
      <c r="J195" s="2" t="s">
        <v>1438</v>
      </c>
      <c r="K195" s="2">
        <f t="shared" si="9"/>
        <v>43</v>
      </c>
      <c r="L195" s="2" t="s">
        <v>1167</v>
      </c>
      <c r="M195" s="2"/>
      <c r="N195" s="25"/>
      <c r="O195" s="26"/>
      <c r="P195" s="8" t="s">
        <v>37</v>
      </c>
      <c r="Q195" s="8" t="s">
        <v>38</v>
      </c>
      <c r="R195" s="8" t="s">
        <v>38</v>
      </c>
      <c r="S195" s="24"/>
      <c r="T195" s="24"/>
      <c r="U195" s="24"/>
      <c r="V195" s="2"/>
      <c r="W195" s="2" t="s">
        <v>1439</v>
      </c>
      <c r="X195" s="2"/>
      <c r="Y195" s="24"/>
      <c r="Z195" s="2" t="s">
        <v>42</v>
      </c>
      <c r="AA195" s="24"/>
    </row>
    <row r="196" spans="1:27" x14ac:dyDescent="0.2">
      <c r="A196" s="2" t="s">
        <v>1440</v>
      </c>
      <c r="B196" s="24" t="s">
        <v>1441</v>
      </c>
      <c r="C196" s="8" t="s">
        <v>1442</v>
      </c>
      <c r="D196" s="8" t="s">
        <v>1443</v>
      </c>
      <c r="E196" s="6" t="s">
        <v>1226</v>
      </c>
      <c r="F196" s="8" t="s">
        <v>1166</v>
      </c>
      <c r="G196" s="8">
        <f t="shared" si="10"/>
        <v>44</v>
      </c>
      <c r="H196" s="8"/>
      <c r="I196" s="2">
        <f t="shared" si="7"/>
        <v>0</v>
      </c>
      <c r="J196" s="2" t="s">
        <v>1166</v>
      </c>
      <c r="K196" s="2">
        <f t="shared" si="9"/>
        <v>44</v>
      </c>
      <c r="L196" s="2" t="s">
        <v>1167</v>
      </c>
      <c r="M196" s="2"/>
      <c r="N196" s="25" t="s">
        <v>120</v>
      </c>
      <c r="O196" s="26" t="s">
        <v>1444</v>
      </c>
      <c r="P196" s="8" t="s">
        <v>37</v>
      </c>
      <c r="Q196" s="8" t="s">
        <v>38</v>
      </c>
      <c r="R196" s="8" t="s">
        <v>38</v>
      </c>
      <c r="S196" s="24" t="s">
        <v>1445</v>
      </c>
      <c r="T196" s="24" t="s">
        <v>1446</v>
      </c>
      <c r="U196" s="24">
        <v>16751538</v>
      </c>
      <c r="V196" s="2"/>
      <c r="W196" s="2" t="s">
        <v>1447</v>
      </c>
      <c r="X196" s="2"/>
      <c r="Y196" s="24" t="s">
        <v>1448</v>
      </c>
      <c r="Z196" s="2" t="s">
        <v>42</v>
      </c>
      <c r="AA196" s="24"/>
    </row>
    <row r="197" spans="1:27" x14ac:dyDescent="0.2">
      <c r="A197" s="2" t="s">
        <v>1449</v>
      </c>
      <c r="B197" s="24"/>
      <c r="C197" s="8" t="s">
        <v>1450</v>
      </c>
      <c r="D197" s="8" t="s">
        <v>1451</v>
      </c>
      <c r="E197" s="6" t="s">
        <v>1226</v>
      </c>
      <c r="F197" s="8" t="s">
        <v>1174</v>
      </c>
      <c r="G197" s="8">
        <f t="shared" si="10"/>
        <v>43</v>
      </c>
      <c r="H197" s="8"/>
      <c r="I197" s="2">
        <f t="shared" si="7"/>
        <v>0</v>
      </c>
      <c r="J197" s="2" t="s">
        <v>1174</v>
      </c>
      <c r="K197" s="2">
        <f t="shared" si="9"/>
        <v>43</v>
      </c>
      <c r="L197" s="2" t="s">
        <v>1167</v>
      </c>
      <c r="M197" s="2"/>
      <c r="N197" s="25"/>
      <c r="O197" s="26"/>
      <c r="P197" s="8" t="s">
        <v>37</v>
      </c>
      <c r="Q197" s="8" t="s">
        <v>38</v>
      </c>
      <c r="R197" s="8" t="s">
        <v>38</v>
      </c>
      <c r="S197" s="24"/>
      <c r="T197" s="24"/>
      <c r="U197" s="24"/>
      <c r="V197" s="2"/>
      <c r="W197" s="2" t="s">
        <v>1452</v>
      </c>
      <c r="X197" s="2"/>
      <c r="Y197" s="24"/>
      <c r="Z197" s="2" t="s">
        <v>42</v>
      </c>
      <c r="AA197" s="24"/>
    </row>
    <row r="198" spans="1:27" x14ac:dyDescent="0.2">
      <c r="A198" s="2" t="s">
        <v>1453</v>
      </c>
      <c r="B198" s="24" t="s">
        <v>1454</v>
      </c>
      <c r="C198" s="8" t="s">
        <v>1455</v>
      </c>
      <c r="D198" s="8"/>
      <c r="E198" s="6" t="s">
        <v>1226</v>
      </c>
      <c r="F198" s="8" t="s">
        <v>1456</v>
      </c>
      <c r="G198" s="8">
        <f t="shared" si="10"/>
        <v>34</v>
      </c>
      <c r="H198" s="8"/>
      <c r="I198" s="2">
        <f t="shared" si="7"/>
        <v>0</v>
      </c>
      <c r="J198" s="2" t="s">
        <v>1456</v>
      </c>
      <c r="K198" s="2">
        <f t="shared" si="9"/>
        <v>34</v>
      </c>
      <c r="L198" s="2" t="s">
        <v>1167</v>
      </c>
      <c r="M198" s="2"/>
      <c r="N198" s="25" t="s">
        <v>566</v>
      </c>
      <c r="O198" s="26" t="s">
        <v>1457</v>
      </c>
      <c r="P198" s="8" t="s">
        <v>37</v>
      </c>
      <c r="Q198" s="8" t="s">
        <v>38</v>
      </c>
      <c r="R198" s="8" t="s">
        <v>38</v>
      </c>
      <c r="S198" s="27" t="s">
        <v>1458</v>
      </c>
      <c r="T198" s="24" t="s">
        <v>1459</v>
      </c>
      <c r="U198" s="24">
        <v>35269976</v>
      </c>
      <c r="V198" s="2"/>
      <c r="W198" s="2"/>
      <c r="X198" s="2"/>
      <c r="Y198" s="24" t="s">
        <v>1460</v>
      </c>
      <c r="Z198" s="2" t="s">
        <v>42</v>
      </c>
      <c r="AA198" s="24" t="s">
        <v>1461</v>
      </c>
    </row>
    <row r="199" spans="1:27" x14ac:dyDescent="0.2">
      <c r="A199" s="2" t="s">
        <v>1462</v>
      </c>
      <c r="B199" s="24"/>
      <c r="C199" s="8" t="s">
        <v>1463</v>
      </c>
      <c r="D199" s="8"/>
      <c r="E199" s="6" t="s">
        <v>1226</v>
      </c>
      <c r="F199" s="8" t="s">
        <v>1464</v>
      </c>
      <c r="G199" s="8">
        <f t="shared" si="10"/>
        <v>34</v>
      </c>
      <c r="H199" s="8"/>
      <c r="I199" s="2">
        <f t="shared" si="7"/>
        <v>0</v>
      </c>
      <c r="J199" s="2" t="s">
        <v>1464</v>
      </c>
      <c r="K199" s="2">
        <f t="shared" si="9"/>
        <v>34</v>
      </c>
      <c r="L199" s="2" t="s">
        <v>1167</v>
      </c>
      <c r="M199" s="2"/>
      <c r="N199" s="25"/>
      <c r="O199" s="26"/>
      <c r="P199" s="8" t="s">
        <v>37</v>
      </c>
      <c r="Q199" s="8" t="s">
        <v>38</v>
      </c>
      <c r="R199" s="8" t="s">
        <v>38</v>
      </c>
      <c r="S199" s="24"/>
      <c r="T199" s="24"/>
      <c r="U199" s="24"/>
      <c r="V199" s="2"/>
      <c r="W199" s="2"/>
      <c r="X199" s="2"/>
      <c r="Y199" s="24"/>
      <c r="Z199" s="2" t="s">
        <v>42</v>
      </c>
      <c r="AA199" s="24"/>
    </row>
    <row r="200" spans="1:27" x14ac:dyDescent="0.2">
      <c r="A200" s="2" t="s">
        <v>1465</v>
      </c>
      <c r="B200" s="24"/>
      <c r="C200" s="8" t="s">
        <v>1466</v>
      </c>
      <c r="D200" s="8"/>
      <c r="E200" s="6" t="s">
        <v>1226</v>
      </c>
      <c r="F200" s="8" t="s">
        <v>1467</v>
      </c>
      <c r="G200" s="8">
        <f t="shared" si="10"/>
        <v>32</v>
      </c>
      <c r="H200" s="8"/>
      <c r="I200" s="2">
        <f t="shared" si="7"/>
        <v>0</v>
      </c>
      <c r="J200" s="2" t="s">
        <v>1467</v>
      </c>
      <c r="K200" s="2">
        <f t="shared" si="9"/>
        <v>32</v>
      </c>
      <c r="L200" s="2" t="s">
        <v>1167</v>
      </c>
      <c r="M200" s="2"/>
      <c r="N200" s="25"/>
      <c r="O200" s="26"/>
      <c r="P200" s="8" t="s">
        <v>37</v>
      </c>
      <c r="Q200" s="8" t="s">
        <v>38</v>
      </c>
      <c r="R200" s="8" t="s">
        <v>38</v>
      </c>
      <c r="S200" s="24"/>
      <c r="T200" s="24"/>
      <c r="U200" s="24"/>
      <c r="V200" s="2"/>
      <c r="W200" s="2"/>
      <c r="X200" s="2"/>
      <c r="Y200" s="24"/>
      <c r="Z200" s="2" t="s">
        <v>42</v>
      </c>
      <c r="AA200" s="24"/>
    </row>
    <row r="201" spans="1:27" x14ac:dyDescent="0.2">
      <c r="A201" s="2" t="s">
        <v>1468</v>
      </c>
      <c r="B201" s="24" t="s">
        <v>1469</v>
      </c>
      <c r="C201" s="8" t="s">
        <v>1470</v>
      </c>
      <c r="D201" s="8"/>
      <c r="E201" s="6" t="s">
        <v>1226</v>
      </c>
      <c r="F201" s="8" t="s">
        <v>1471</v>
      </c>
      <c r="G201" s="8">
        <f t="shared" si="10"/>
        <v>31</v>
      </c>
      <c r="H201" s="8"/>
      <c r="I201" s="2">
        <f t="shared" si="7"/>
        <v>0</v>
      </c>
      <c r="J201" s="2" t="s">
        <v>1471</v>
      </c>
      <c r="K201" s="2">
        <f t="shared" si="9"/>
        <v>31</v>
      </c>
      <c r="L201" s="2" t="s">
        <v>1167</v>
      </c>
      <c r="M201" s="2"/>
      <c r="N201" s="25" t="s">
        <v>1263</v>
      </c>
      <c r="O201" s="26" t="s">
        <v>1472</v>
      </c>
      <c r="P201" s="8" t="s">
        <v>37</v>
      </c>
      <c r="Q201" s="8" t="s">
        <v>38</v>
      </c>
      <c r="R201" s="8" t="s">
        <v>38</v>
      </c>
      <c r="S201" s="24" t="s">
        <v>1473</v>
      </c>
      <c r="T201" s="24" t="s">
        <v>1474</v>
      </c>
      <c r="U201" s="24">
        <v>11531330</v>
      </c>
      <c r="V201" s="2"/>
      <c r="W201" s="2"/>
      <c r="X201" s="2"/>
      <c r="Y201" s="24" t="s">
        <v>1475</v>
      </c>
      <c r="Z201" s="2" t="s">
        <v>42</v>
      </c>
      <c r="AA201" s="24" t="s">
        <v>1461</v>
      </c>
    </row>
    <row r="202" spans="1:27" x14ac:dyDescent="0.2">
      <c r="A202" s="2" t="s">
        <v>1476</v>
      </c>
      <c r="B202" s="24"/>
      <c r="C202" s="8" t="s">
        <v>1477</v>
      </c>
      <c r="D202" s="8"/>
      <c r="E202" s="6" t="s">
        <v>1226</v>
      </c>
      <c r="F202" s="8" t="s">
        <v>1478</v>
      </c>
      <c r="G202" s="8">
        <f t="shared" si="10"/>
        <v>30</v>
      </c>
      <c r="H202" s="8"/>
      <c r="I202" s="2">
        <f t="shared" si="7"/>
        <v>0</v>
      </c>
      <c r="J202" s="2" t="s">
        <v>1478</v>
      </c>
      <c r="K202" s="2">
        <f t="shared" si="9"/>
        <v>30</v>
      </c>
      <c r="L202" s="2" t="s">
        <v>1167</v>
      </c>
      <c r="M202" s="2"/>
      <c r="N202" s="25"/>
      <c r="O202" s="26"/>
      <c r="P202" s="8" t="s">
        <v>37</v>
      </c>
      <c r="Q202" s="8" t="s">
        <v>38</v>
      </c>
      <c r="R202" s="8" t="s">
        <v>38</v>
      </c>
      <c r="S202" s="24"/>
      <c r="T202" s="24"/>
      <c r="U202" s="24"/>
      <c r="V202" s="2"/>
      <c r="W202" s="2"/>
      <c r="X202" s="2"/>
      <c r="Y202" s="24"/>
      <c r="Z202" s="2" t="s">
        <v>42</v>
      </c>
      <c r="AA202" s="24"/>
    </row>
    <row r="203" spans="1:27" x14ac:dyDescent="0.2">
      <c r="A203" s="2" t="s">
        <v>1479</v>
      </c>
      <c r="B203" s="24"/>
      <c r="C203" s="8" t="s">
        <v>1480</v>
      </c>
      <c r="D203" s="8"/>
      <c r="E203" s="6" t="s">
        <v>1226</v>
      </c>
      <c r="F203" s="8" t="s">
        <v>1481</v>
      </c>
      <c r="G203" s="8">
        <f t="shared" si="10"/>
        <v>31</v>
      </c>
      <c r="H203" s="8"/>
      <c r="I203" s="2">
        <f t="shared" si="7"/>
        <v>0</v>
      </c>
      <c r="J203" s="2" t="s">
        <v>1481</v>
      </c>
      <c r="K203" s="2">
        <f t="shared" si="9"/>
        <v>31</v>
      </c>
      <c r="L203" s="2" t="s">
        <v>1167</v>
      </c>
      <c r="M203" s="2"/>
      <c r="N203" s="25"/>
      <c r="O203" s="26"/>
      <c r="P203" s="8" t="s">
        <v>37</v>
      </c>
      <c r="Q203" s="8" t="s">
        <v>38</v>
      </c>
      <c r="R203" s="8" t="s">
        <v>38</v>
      </c>
      <c r="S203" s="24"/>
      <c r="T203" s="24"/>
      <c r="U203" s="24"/>
      <c r="V203" s="2"/>
      <c r="W203" s="2"/>
      <c r="X203" s="2"/>
      <c r="Y203" s="24"/>
      <c r="Z203" s="2" t="s">
        <v>42</v>
      </c>
      <c r="AA203" s="24"/>
    </row>
    <row r="204" spans="1:27" x14ac:dyDescent="0.2">
      <c r="A204" s="2" t="s">
        <v>1482</v>
      </c>
      <c r="B204" s="24"/>
      <c r="C204" s="8" t="s">
        <v>1483</v>
      </c>
      <c r="D204" s="8"/>
      <c r="E204" s="6" t="s">
        <v>1226</v>
      </c>
      <c r="F204" s="8" t="s">
        <v>1484</v>
      </c>
      <c r="G204" s="8">
        <f t="shared" si="10"/>
        <v>31</v>
      </c>
      <c r="H204" s="8"/>
      <c r="I204" s="2">
        <f t="shared" si="7"/>
        <v>0</v>
      </c>
      <c r="J204" s="2" t="s">
        <v>1484</v>
      </c>
      <c r="K204" s="2">
        <f t="shared" si="9"/>
        <v>31</v>
      </c>
      <c r="L204" s="2" t="s">
        <v>1167</v>
      </c>
      <c r="M204" s="2"/>
      <c r="N204" s="25"/>
      <c r="O204" s="26"/>
      <c r="P204" s="8" t="s">
        <v>37</v>
      </c>
      <c r="Q204" s="8" t="s">
        <v>38</v>
      </c>
      <c r="R204" s="8" t="s">
        <v>38</v>
      </c>
      <c r="S204" s="24"/>
      <c r="T204" s="24"/>
      <c r="U204" s="24"/>
      <c r="V204" s="2"/>
      <c r="W204" s="2"/>
      <c r="X204" s="2"/>
      <c r="Y204" s="24"/>
      <c r="Z204" s="2" t="s">
        <v>42</v>
      </c>
      <c r="AA204" s="24"/>
    </row>
    <row r="205" spans="1:27" x14ac:dyDescent="0.2">
      <c r="A205" s="2" t="s">
        <v>1485</v>
      </c>
      <c r="B205" s="24" t="s">
        <v>1486</v>
      </c>
      <c r="C205" s="8" t="s">
        <v>1487</v>
      </c>
      <c r="D205" s="8"/>
      <c r="E205" s="6" t="s">
        <v>1226</v>
      </c>
      <c r="F205" s="8" t="s">
        <v>1488</v>
      </c>
      <c r="G205" s="8">
        <f t="shared" si="10"/>
        <v>30</v>
      </c>
      <c r="H205" s="8"/>
      <c r="I205" s="2">
        <f t="shared" si="7"/>
        <v>0</v>
      </c>
      <c r="J205" s="2" t="s">
        <v>1488</v>
      </c>
      <c r="K205" s="2">
        <f t="shared" si="9"/>
        <v>30</v>
      </c>
      <c r="L205" s="2" t="s">
        <v>1167</v>
      </c>
      <c r="M205" s="2"/>
      <c r="N205" s="25" t="s">
        <v>1489</v>
      </c>
      <c r="O205" s="26"/>
      <c r="P205" s="8" t="s">
        <v>37</v>
      </c>
      <c r="Q205" s="8" t="s">
        <v>38</v>
      </c>
      <c r="R205" s="8" t="s">
        <v>38</v>
      </c>
      <c r="S205" s="27" t="s">
        <v>102</v>
      </c>
      <c r="T205" s="24" t="s">
        <v>1490</v>
      </c>
      <c r="U205" s="24">
        <v>27316965</v>
      </c>
      <c r="V205" s="2"/>
      <c r="W205" s="2"/>
      <c r="X205" s="2"/>
      <c r="Y205" s="24" t="s">
        <v>1491</v>
      </c>
      <c r="Z205" s="2" t="s">
        <v>42</v>
      </c>
      <c r="AA205" s="24" t="s">
        <v>1461</v>
      </c>
    </row>
    <row r="206" spans="1:27" x14ac:dyDescent="0.2">
      <c r="A206" s="2" t="s">
        <v>1492</v>
      </c>
      <c r="B206" s="24"/>
      <c r="C206" s="8" t="s">
        <v>1493</v>
      </c>
      <c r="D206" s="8"/>
      <c r="E206" s="6" t="s">
        <v>1226</v>
      </c>
      <c r="F206" s="8" t="s">
        <v>1494</v>
      </c>
      <c r="G206" s="8">
        <f t="shared" si="10"/>
        <v>30</v>
      </c>
      <c r="H206" s="8"/>
      <c r="I206" s="2">
        <f t="shared" si="7"/>
        <v>0</v>
      </c>
      <c r="J206" s="2" t="s">
        <v>1494</v>
      </c>
      <c r="K206" s="2">
        <f t="shared" si="9"/>
        <v>30</v>
      </c>
      <c r="L206" s="2" t="s">
        <v>1167</v>
      </c>
      <c r="M206" s="2"/>
      <c r="N206" s="25"/>
      <c r="O206" s="26"/>
      <c r="P206" s="8" t="s">
        <v>37</v>
      </c>
      <c r="Q206" s="8" t="s">
        <v>38</v>
      </c>
      <c r="R206" s="8" t="s">
        <v>38</v>
      </c>
      <c r="S206" s="24"/>
      <c r="T206" s="24"/>
      <c r="U206" s="24"/>
      <c r="V206" s="2"/>
      <c r="W206" s="2"/>
      <c r="X206" s="2"/>
      <c r="Y206" s="24"/>
      <c r="Z206" s="2" t="s">
        <v>42</v>
      </c>
      <c r="AA206" s="24"/>
    </row>
    <row r="207" spans="1:27" x14ac:dyDescent="0.2">
      <c r="A207" s="2" t="s">
        <v>1495</v>
      </c>
      <c r="B207" s="24"/>
      <c r="C207" s="8" t="s">
        <v>1496</v>
      </c>
      <c r="D207" s="8"/>
      <c r="E207" s="6" t="s">
        <v>1226</v>
      </c>
      <c r="F207" s="8" t="s">
        <v>1497</v>
      </c>
      <c r="G207" s="8">
        <f t="shared" si="10"/>
        <v>31</v>
      </c>
      <c r="H207" s="8"/>
      <c r="I207" s="2">
        <f t="shared" ref="I207:I282" si="11">LEN(H207)</f>
        <v>0</v>
      </c>
      <c r="J207" s="2" t="s">
        <v>1497</v>
      </c>
      <c r="K207" s="2">
        <f t="shared" si="9"/>
        <v>31</v>
      </c>
      <c r="L207" s="2" t="s">
        <v>1167</v>
      </c>
      <c r="M207" s="2"/>
      <c r="N207" s="25"/>
      <c r="O207" s="26"/>
      <c r="P207" s="8" t="s">
        <v>37</v>
      </c>
      <c r="Q207" s="8" t="s">
        <v>38</v>
      </c>
      <c r="R207" s="8" t="s">
        <v>38</v>
      </c>
      <c r="S207" s="24"/>
      <c r="T207" s="24"/>
      <c r="U207" s="24"/>
      <c r="V207" s="2"/>
      <c r="W207" s="2"/>
      <c r="X207" s="2"/>
      <c r="Y207" s="24"/>
      <c r="Z207" s="2" t="s">
        <v>42</v>
      </c>
      <c r="AA207" s="24"/>
    </row>
    <row r="208" spans="1:27" x14ac:dyDescent="0.2">
      <c r="A208" s="2" t="s">
        <v>1498</v>
      </c>
      <c r="B208" s="24" t="s">
        <v>1499</v>
      </c>
      <c r="C208" s="8" t="s">
        <v>1500</v>
      </c>
      <c r="D208" s="8"/>
      <c r="E208" s="6" t="s">
        <v>1226</v>
      </c>
      <c r="F208" s="8" t="s">
        <v>1501</v>
      </c>
      <c r="G208" s="8">
        <f t="shared" si="10"/>
        <v>27</v>
      </c>
      <c r="H208" s="8"/>
      <c r="I208" s="2">
        <f t="shared" si="11"/>
        <v>0</v>
      </c>
      <c r="J208" s="2" t="s">
        <v>1501</v>
      </c>
      <c r="K208" s="2">
        <f t="shared" si="9"/>
        <v>27</v>
      </c>
      <c r="L208" s="2" t="s">
        <v>1167</v>
      </c>
      <c r="M208" s="2"/>
      <c r="N208" s="25" t="s">
        <v>1489</v>
      </c>
      <c r="O208" s="26"/>
      <c r="P208" s="8" t="s">
        <v>37</v>
      </c>
      <c r="Q208" s="8" t="s">
        <v>38</v>
      </c>
      <c r="R208" s="8" t="s">
        <v>38</v>
      </c>
      <c r="S208" s="27" t="s">
        <v>102</v>
      </c>
      <c r="T208" s="24" t="s">
        <v>1490</v>
      </c>
      <c r="U208" s="24">
        <v>27316965</v>
      </c>
      <c r="V208" s="2"/>
      <c r="W208" s="2"/>
      <c r="X208" s="2"/>
      <c r="Y208" s="24" t="s">
        <v>1491</v>
      </c>
      <c r="Z208" s="2" t="s">
        <v>42</v>
      </c>
      <c r="AA208" s="24" t="s">
        <v>1461</v>
      </c>
    </row>
    <row r="209" spans="1:27" x14ac:dyDescent="0.2">
      <c r="A209" s="2" t="s">
        <v>1502</v>
      </c>
      <c r="B209" s="24"/>
      <c r="C209" s="8" t="s">
        <v>1503</v>
      </c>
      <c r="D209" s="8"/>
      <c r="E209" s="6" t="s">
        <v>1226</v>
      </c>
      <c r="F209" s="8" t="s">
        <v>1504</v>
      </c>
      <c r="G209" s="8">
        <f t="shared" si="10"/>
        <v>29</v>
      </c>
      <c r="H209" s="8"/>
      <c r="I209" s="2">
        <f t="shared" si="11"/>
        <v>0</v>
      </c>
      <c r="J209" s="2" t="s">
        <v>1504</v>
      </c>
      <c r="K209" s="2">
        <f t="shared" si="9"/>
        <v>29</v>
      </c>
      <c r="L209" s="2" t="s">
        <v>1167</v>
      </c>
      <c r="M209" s="2"/>
      <c r="N209" s="25"/>
      <c r="O209" s="26"/>
      <c r="P209" s="8" t="s">
        <v>37</v>
      </c>
      <c r="Q209" s="8" t="s">
        <v>38</v>
      </c>
      <c r="R209" s="8" t="s">
        <v>38</v>
      </c>
      <c r="S209" s="24"/>
      <c r="T209" s="24"/>
      <c r="U209" s="24"/>
      <c r="V209" s="2"/>
      <c r="W209" s="2"/>
      <c r="X209" s="2"/>
      <c r="Y209" s="24"/>
      <c r="Z209" s="2" t="s">
        <v>42</v>
      </c>
      <c r="AA209" s="24"/>
    </row>
    <row r="210" spans="1:27" x14ac:dyDescent="0.2">
      <c r="A210" s="2" t="s">
        <v>1505</v>
      </c>
      <c r="B210" s="24"/>
      <c r="C210" s="8" t="s">
        <v>1506</v>
      </c>
      <c r="D210" s="8"/>
      <c r="E210" s="6" t="s">
        <v>1226</v>
      </c>
      <c r="F210" s="8" t="s">
        <v>1507</v>
      </c>
      <c r="G210" s="8">
        <f t="shared" si="10"/>
        <v>30</v>
      </c>
      <c r="H210" s="8"/>
      <c r="I210" s="2">
        <f t="shared" si="11"/>
        <v>0</v>
      </c>
      <c r="J210" s="2" t="s">
        <v>1507</v>
      </c>
      <c r="K210" s="2">
        <f t="shared" si="9"/>
        <v>30</v>
      </c>
      <c r="L210" s="2" t="s">
        <v>1167</v>
      </c>
      <c r="M210" s="2"/>
      <c r="N210" s="25"/>
      <c r="O210" s="26"/>
      <c r="P210" s="8" t="s">
        <v>37</v>
      </c>
      <c r="Q210" s="8" t="s">
        <v>38</v>
      </c>
      <c r="R210" s="8" t="s">
        <v>38</v>
      </c>
      <c r="S210" s="24"/>
      <c r="T210" s="24"/>
      <c r="U210" s="24"/>
      <c r="V210" s="2"/>
      <c r="W210" s="2"/>
      <c r="X210" s="2"/>
      <c r="Y210" s="24"/>
      <c r="Z210" s="2" t="s">
        <v>42</v>
      </c>
      <c r="AA210" s="24"/>
    </row>
    <row r="211" spans="1:27" x14ac:dyDescent="0.2">
      <c r="A211" s="2" t="s">
        <v>1508</v>
      </c>
      <c r="B211" s="24" t="s">
        <v>1509</v>
      </c>
      <c r="C211" s="8" t="s">
        <v>1510</v>
      </c>
      <c r="D211" s="8"/>
      <c r="E211" s="6" t="s">
        <v>1226</v>
      </c>
      <c r="F211" s="8" t="s">
        <v>1511</v>
      </c>
      <c r="G211" s="8">
        <f t="shared" si="10"/>
        <v>26</v>
      </c>
      <c r="H211" s="8"/>
      <c r="I211" s="2">
        <f t="shared" si="11"/>
        <v>0</v>
      </c>
      <c r="J211" s="2" t="s">
        <v>1511</v>
      </c>
      <c r="K211" s="2">
        <f t="shared" si="9"/>
        <v>26</v>
      </c>
      <c r="L211" s="2" t="s">
        <v>1167</v>
      </c>
      <c r="M211" s="2"/>
      <c r="N211" s="25" t="s">
        <v>1489</v>
      </c>
      <c r="O211" s="26"/>
      <c r="P211" s="8" t="s">
        <v>37</v>
      </c>
      <c r="Q211" s="8" t="s">
        <v>38</v>
      </c>
      <c r="R211" s="8" t="s">
        <v>38</v>
      </c>
      <c r="S211" s="27" t="s">
        <v>102</v>
      </c>
      <c r="T211" s="24" t="s">
        <v>1490</v>
      </c>
      <c r="U211" s="24">
        <v>27316965</v>
      </c>
      <c r="V211" s="2"/>
      <c r="W211" s="2"/>
      <c r="X211" s="2"/>
      <c r="Y211" s="24" t="s">
        <v>1491</v>
      </c>
      <c r="Z211" s="2" t="s">
        <v>42</v>
      </c>
      <c r="AA211" s="24" t="s">
        <v>1461</v>
      </c>
    </row>
    <row r="212" spans="1:27" x14ac:dyDescent="0.2">
      <c r="A212" s="2" t="s">
        <v>1512</v>
      </c>
      <c r="B212" s="24"/>
      <c r="C212" s="8" t="s">
        <v>1513</v>
      </c>
      <c r="D212" s="8"/>
      <c r="E212" s="6" t="s">
        <v>1226</v>
      </c>
      <c r="F212" s="8" t="s">
        <v>1514</v>
      </c>
      <c r="G212" s="8">
        <f t="shared" si="10"/>
        <v>30</v>
      </c>
      <c r="H212" s="8"/>
      <c r="I212" s="2">
        <f t="shared" si="11"/>
        <v>0</v>
      </c>
      <c r="J212" s="2" t="s">
        <v>1514</v>
      </c>
      <c r="K212" s="2">
        <f t="shared" si="9"/>
        <v>30</v>
      </c>
      <c r="L212" s="2" t="s">
        <v>1167</v>
      </c>
      <c r="M212" s="2"/>
      <c r="N212" s="25"/>
      <c r="O212" s="26"/>
      <c r="P212" s="8" t="s">
        <v>37</v>
      </c>
      <c r="Q212" s="8" t="s">
        <v>38</v>
      </c>
      <c r="R212" s="8" t="s">
        <v>38</v>
      </c>
      <c r="S212" s="24"/>
      <c r="T212" s="24"/>
      <c r="U212" s="24"/>
      <c r="V212" s="2"/>
      <c r="W212" s="2"/>
      <c r="X212" s="2"/>
      <c r="Y212" s="24"/>
      <c r="Z212" s="2" t="s">
        <v>42</v>
      </c>
      <c r="AA212" s="24"/>
    </row>
    <row r="213" spans="1:27" x14ac:dyDescent="0.2">
      <c r="A213" s="2" t="s">
        <v>1515</v>
      </c>
      <c r="B213" s="24"/>
      <c r="C213" s="8" t="s">
        <v>1516</v>
      </c>
      <c r="D213" s="8"/>
      <c r="E213" s="6" t="s">
        <v>1226</v>
      </c>
      <c r="F213" s="8" t="s">
        <v>1517</v>
      </c>
      <c r="G213" s="8">
        <f t="shared" si="10"/>
        <v>30</v>
      </c>
      <c r="H213" s="8"/>
      <c r="I213" s="2">
        <f t="shared" si="11"/>
        <v>0</v>
      </c>
      <c r="J213" s="2" t="s">
        <v>1517</v>
      </c>
      <c r="K213" s="2">
        <f t="shared" si="9"/>
        <v>30</v>
      </c>
      <c r="L213" s="2" t="s">
        <v>1167</v>
      </c>
      <c r="M213" s="2"/>
      <c r="N213" s="25"/>
      <c r="O213" s="26"/>
      <c r="P213" s="8" t="s">
        <v>37</v>
      </c>
      <c r="Q213" s="8" t="s">
        <v>38</v>
      </c>
      <c r="R213" s="8" t="s">
        <v>38</v>
      </c>
      <c r="S213" s="24"/>
      <c r="T213" s="24"/>
      <c r="U213" s="24"/>
      <c r="V213" s="2"/>
      <c r="W213" s="2"/>
      <c r="X213" s="2"/>
      <c r="Y213" s="24"/>
      <c r="Z213" s="2" t="s">
        <v>42</v>
      </c>
      <c r="AA213" s="24"/>
    </row>
    <row r="214" spans="1:27" x14ac:dyDescent="0.2">
      <c r="A214" s="2" t="s">
        <v>1518</v>
      </c>
      <c r="B214" s="24"/>
      <c r="C214" s="8" t="s">
        <v>1519</v>
      </c>
      <c r="D214" s="8"/>
      <c r="E214" s="6" t="s">
        <v>1226</v>
      </c>
      <c r="F214" s="8" t="s">
        <v>1520</v>
      </c>
      <c r="G214" s="8">
        <f t="shared" si="10"/>
        <v>30</v>
      </c>
      <c r="H214" s="8"/>
      <c r="I214" s="2">
        <f t="shared" si="11"/>
        <v>0</v>
      </c>
      <c r="J214" s="2" t="s">
        <v>1520</v>
      </c>
      <c r="K214" s="2">
        <f t="shared" si="9"/>
        <v>30</v>
      </c>
      <c r="L214" s="2" t="s">
        <v>1167</v>
      </c>
      <c r="M214" s="2"/>
      <c r="N214" s="25"/>
      <c r="O214" s="26"/>
      <c r="P214" s="8" t="s">
        <v>37</v>
      </c>
      <c r="Q214" s="8" t="s">
        <v>38</v>
      </c>
      <c r="R214" s="8" t="s">
        <v>38</v>
      </c>
      <c r="S214" s="24"/>
      <c r="T214" s="24"/>
      <c r="U214" s="24"/>
      <c r="V214" s="2"/>
      <c r="W214" s="2"/>
      <c r="X214" s="2"/>
      <c r="Y214" s="24"/>
      <c r="Z214" s="2" t="s">
        <v>42</v>
      </c>
      <c r="AA214" s="24"/>
    </row>
    <row r="215" spans="1:27" x14ac:dyDescent="0.2">
      <c r="A215" s="2" t="s">
        <v>1521</v>
      </c>
      <c r="B215" s="24" t="s">
        <v>1522</v>
      </c>
      <c r="C215" s="8" t="s">
        <v>1523</v>
      </c>
      <c r="D215" s="8"/>
      <c r="E215" s="6" t="s">
        <v>1226</v>
      </c>
      <c r="F215" s="8" t="s">
        <v>1524</v>
      </c>
      <c r="G215" s="8">
        <f t="shared" si="10"/>
        <v>44</v>
      </c>
      <c r="H215" s="8"/>
      <c r="I215" s="2">
        <f t="shared" si="11"/>
        <v>0</v>
      </c>
      <c r="J215" s="2" t="s">
        <v>1524</v>
      </c>
      <c r="K215" s="2">
        <f t="shared" si="9"/>
        <v>44</v>
      </c>
      <c r="L215" s="2" t="s">
        <v>1167</v>
      </c>
      <c r="M215" s="2"/>
      <c r="N215" s="25" t="s">
        <v>1263</v>
      </c>
      <c r="O215" s="26"/>
      <c r="P215" s="8" t="s">
        <v>37</v>
      </c>
      <c r="Q215" s="8" t="s">
        <v>38</v>
      </c>
      <c r="R215" s="8" t="s">
        <v>38</v>
      </c>
      <c r="S215" s="11" t="s">
        <v>102</v>
      </c>
      <c r="T215" s="24" t="s">
        <v>1525</v>
      </c>
      <c r="U215" s="24">
        <v>24703849</v>
      </c>
      <c r="V215" s="2"/>
      <c r="W215" s="2"/>
      <c r="X215" s="2"/>
      <c r="Y215" s="24" t="s">
        <v>1526</v>
      </c>
      <c r="Z215" s="2" t="s">
        <v>42</v>
      </c>
      <c r="AA215" s="24" t="s">
        <v>1527</v>
      </c>
    </row>
    <row r="216" spans="1:27" x14ac:dyDescent="0.2">
      <c r="A216" s="2" t="s">
        <v>1528</v>
      </c>
      <c r="B216" s="24"/>
      <c r="C216" s="8" t="s">
        <v>1529</v>
      </c>
      <c r="D216" s="8"/>
      <c r="E216" s="6" t="s">
        <v>1226</v>
      </c>
      <c r="F216" s="8" t="s">
        <v>1530</v>
      </c>
      <c r="G216" s="8">
        <f t="shared" si="10"/>
        <v>31</v>
      </c>
      <c r="H216" s="8"/>
      <c r="I216" s="2">
        <f t="shared" si="11"/>
        <v>0</v>
      </c>
      <c r="J216" s="2" t="s">
        <v>1530</v>
      </c>
      <c r="K216" s="2">
        <f t="shared" si="9"/>
        <v>31</v>
      </c>
      <c r="L216" s="2" t="s">
        <v>1167</v>
      </c>
      <c r="M216" s="2"/>
      <c r="N216" s="25"/>
      <c r="O216" s="26"/>
      <c r="P216" s="8" t="s">
        <v>37</v>
      </c>
      <c r="Q216" s="8" t="s">
        <v>38</v>
      </c>
      <c r="R216" s="8" t="s">
        <v>38</v>
      </c>
      <c r="S216" s="11" t="s">
        <v>102</v>
      </c>
      <c r="T216" s="24"/>
      <c r="U216" s="24"/>
      <c r="V216" s="2"/>
      <c r="W216" s="2"/>
      <c r="X216" s="2"/>
      <c r="Y216" s="24"/>
      <c r="Z216" s="2" t="s">
        <v>42</v>
      </c>
      <c r="AA216" s="24"/>
    </row>
    <row r="217" spans="1:27" x14ac:dyDescent="0.2">
      <c r="A217" s="2" t="s">
        <v>1531</v>
      </c>
      <c r="B217" s="24" t="s">
        <v>1532</v>
      </c>
      <c r="C217" s="24"/>
      <c r="D217" s="2"/>
      <c r="E217" s="6" t="s">
        <v>1226</v>
      </c>
      <c r="F217" s="8" t="s">
        <v>1533</v>
      </c>
      <c r="G217" s="8">
        <f t="shared" si="10"/>
        <v>44</v>
      </c>
      <c r="H217" s="8"/>
      <c r="I217" s="2">
        <f t="shared" si="11"/>
        <v>0</v>
      </c>
      <c r="J217" s="2" t="s">
        <v>1533</v>
      </c>
      <c r="K217" s="2">
        <f t="shared" si="9"/>
        <v>44</v>
      </c>
      <c r="L217" s="2" t="s">
        <v>1167</v>
      </c>
      <c r="M217" s="2"/>
      <c r="N217" s="9" t="s">
        <v>1534</v>
      </c>
      <c r="O217" s="8" t="s">
        <v>1535</v>
      </c>
      <c r="P217" s="8" t="s">
        <v>37</v>
      </c>
      <c r="Q217" s="8" t="s">
        <v>38</v>
      </c>
      <c r="R217" s="8" t="s">
        <v>38</v>
      </c>
      <c r="S217" s="11" t="s">
        <v>102</v>
      </c>
      <c r="T217" s="2" t="s">
        <v>1536</v>
      </c>
      <c r="U217" s="2">
        <v>30057579</v>
      </c>
      <c r="V217" s="2"/>
      <c r="W217" s="2"/>
      <c r="X217" s="2"/>
      <c r="Y217" s="2" t="s">
        <v>1537</v>
      </c>
      <c r="Z217" s="2" t="s">
        <v>42</v>
      </c>
      <c r="AA217" s="2"/>
    </row>
    <row r="218" spans="1:27" x14ac:dyDescent="0.2">
      <c r="A218" s="2" t="s">
        <v>1538</v>
      </c>
      <c r="B218" s="24" t="s">
        <v>1539</v>
      </c>
      <c r="C218" s="24"/>
      <c r="D218" s="2"/>
      <c r="E218" s="6" t="s">
        <v>1226</v>
      </c>
      <c r="F218" s="8" t="s">
        <v>1540</v>
      </c>
      <c r="G218" s="8">
        <f t="shared" si="10"/>
        <v>43</v>
      </c>
      <c r="H218" s="8"/>
      <c r="I218" s="2">
        <f t="shared" si="11"/>
        <v>0</v>
      </c>
      <c r="J218" s="2" t="s">
        <v>1540</v>
      </c>
      <c r="K218" s="2">
        <f t="shared" si="9"/>
        <v>43</v>
      </c>
      <c r="L218" s="2" t="s">
        <v>1167</v>
      </c>
      <c r="M218" s="2"/>
      <c r="N218" s="9" t="s">
        <v>1534</v>
      </c>
      <c r="O218" s="8" t="s">
        <v>1535</v>
      </c>
      <c r="P218" s="8" t="s">
        <v>37</v>
      </c>
      <c r="Q218" s="8" t="s">
        <v>38</v>
      </c>
      <c r="R218" s="8" t="s">
        <v>38</v>
      </c>
      <c r="S218" s="11" t="s">
        <v>102</v>
      </c>
      <c r="T218" s="2" t="s">
        <v>1536</v>
      </c>
      <c r="U218" s="2">
        <v>30057579</v>
      </c>
      <c r="V218" s="2"/>
      <c r="W218" s="2"/>
      <c r="X218" s="2"/>
      <c r="Y218" s="2" t="s">
        <v>1537</v>
      </c>
      <c r="Z218" s="2" t="s">
        <v>42</v>
      </c>
      <c r="AA218" s="2"/>
    </row>
    <row r="219" spans="1:27" x14ac:dyDescent="0.2">
      <c r="A219" s="2" t="s">
        <v>1541</v>
      </c>
      <c r="B219" s="24" t="s">
        <v>1542</v>
      </c>
      <c r="C219" s="24"/>
      <c r="D219" s="2"/>
      <c r="E219" s="6" t="s">
        <v>1226</v>
      </c>
      <c r="F219" s="8" t="s">
        <v>1543</v>
      </c>
      <c r="G219" s="8">
        <f t="shared" si="10"/>
        <v>61</v>
      </c>
      <c r="H219" s="8"/>
      <c r="I219" s="2">
        <f t="shared" si="11"/>
        <v>0</v>
      </c>
      <c r="J219" s="2" t="s">
        <v>1543</v>
      </c>
      <c r="K219" s="2">
        <f t="shared" si="9"/>
        <v>61</v>
      </c>
      <c r="L219" s="2" t="s">
        <v>1167</v>
      </c>
      <c r="M219" s="2"/>
      <c r="N219" s="9" t="s">
        <v>1534</v>
      </c>
      <c r="O219" s="8" t="s">
        <v>1535</v>
      </c>
      <c r="P219" s="8" t="s">
        <v>37</v>
      </c>
      <c r="Q219" s="8" t="s">
        <v>38</v>
      </c>
      <c r="R219" s="8" t="s">
        <v>38</v>
      </c>
      <c r="S219" s="11" t="s">
        <v>102</v>
      </c>
      <c r="T219" s="2" t="s">
        <v>1536</v>
      </c>
      <c r="U219" s="2">
        <v>30057579</v>
      </c>
      <c r="V219" s="2"/>
      <c r="W219" s="2"/>
      <c r="X219" s="2"/>
      <c r="Y219" s="2" t="s">
        <v>1537</v>
      </c>
      <c r="Z219" s="2" t="s">
        <v>42</v>
      </c>
      <c r="AA219" s="2"/>
    </row>
    <row r="220" spans="1:27" x14ac:dyDescent="0.2">
      <c r="A220" s="2" t="s">
        <v>1544</v>
      </c>
      <c r="B220" s="24" t="s">
        <v>1545</v>
      </c>
      <c r="C220" s="24"/>
      <c r="D220" s="2"/>
      <c r="E220" s="6" t="s">
        <v>1226</v>
      </c>
      <c r="F220" s="8" t="s">
        <v>1546</v>
      </c>
      <c r="G220" s="8">
        <f t="shared" si="10"/>
        <v>38</v>
      </c>
      <c r="H220" s="8"/>
      <c r="I220" s="2">
        <f t="shared" si="11"/>
        <v>0</v>
      </c>
      <c r="J220" s="2" t="s">
        <v>1546</v>
      </c>
      <c r="K220" s="2">
        <f t="shared" si="9"/>
        <v>38</v>
      </c>
      <c r="L220" s="2" t="s">
        <v>1167</v>
      </c>
      <c r="M220" s="2"/>
      <c r="N220" s="9" t="s">
        <v>1534</v>
      </c>
      <c r="O220" s="8" t="s">
        <v>1535</v>
      </c>
      <c r="P220" s="8" t="s">
        <v>37</v>
      </c>
      <c r="Q220" s="8" t="s">
        <v>38</v>
      </c>
      <c r="R220" s="8" t="s">
        <v>38</v>
      </c>
      <c r="S220" s="11" t="s">
        <v>102</v>
      </c>
      <c r="T220" s="2" t="s">
        <v>1536</v>
      </c>
      <c r="U220" s="2">
        <v>30057579</v>
      </c>
      <c r="V220" s="2"/>
      <c r="W220" s="2"/>
      <c r="X220" s="2"/>
      <c r="Y220" s="2" t="s">
        <v>1537</v>
      </c>
      <c r="Z220" s="2" t="s">
        <v>42</v>
      </c>
      <c r="AA220" s="2"/>
    </row>
    <row r="221" spans="1:27" x14ac:dyDescent="0.2">
      <c r="A221" s="2" t="s">
        <v>1547</v>
      </c>
      <c r="B221" s="24" t="s">
        <v>1548</v>
      </c>
      <c r="C221" s="24"/>
      <c r="D221" s="2"/>
      <c r="E221" s="6" t="s">
        <v>1226</v>
      </c>
      <c r="F221" s="2" t="s">
        <v>1549</v>
      </c>
      <c r="G221" s="8">
        <f t="shared" si="10"/>
        <v>82</v>
      </c>
      <c r="H221" s="8"/>
      <c r="I221" s="2">
        <f t="shared" si="11"/>
        <v>0</v>
      </c>
      <c r="J221" s="2" t="s">
        <v>1549</v>
      </c>
      <c r="K221" s="2">
        <f t="shared" si="9"/>
        <v>82</v>
      </c>
      <c r="L221" s="2" t="s">
        <v>1167</v>
      </c>
      <c r="M221" s="2"/>
      <c r="N221" s="9" t="s">
        <v>1534</v>
      </c>
      <c r="O221" s="8" t="s">
        <v>1535</v>
      </c>
      <c r="P221" s="8" t="s">
        <v>37</v>
      </c>
      <c r="Q221" s="8" t="s">
        <v>38</v>
      </c>
      <c r="R221" s="8" t="s">
        <v>38</v>
      </c>
      <c r="S221" s="11" t="s">
        <v>102</v>
      </c>
      <c r="T221" s="2" t="s">
        <v>1536</v>
      </c>
      <c r="U221" s="2">
        <v>30057579</v>
      </c>
      <c r="V221" s="2"/>
      <c r="W221" s="2"/>
      <c r="X221" s="2"/>
      <c r="Y221" s="2" t="s">
        <v>1537</v>
      </c>
      <c r="Z221" s="2" t="s">
        <v>42</v>
      </c>
      <c r="AA221" s="2"/>
    </row>
    <row r="222" spans="1:27" x14ac:dyDescent="0.2">
      <c r="A222" s="2" t="s">
        <v>1550</v>
      </c>
      <c r="B222" s="24" t="s">
        <v>1551</v>
      </c>
      <c r="C222" s="24"/>
      <c r="D222" s="2"/>
      <c r="E222" s="6" t="s">
        <v>1226</v>
      </c>
      <c r="F222" s="8" t="s">
        <v>1552</v>
      </c>
      <c r="G222" s="8">
        <f t="shared" si="10"/>
        <v>37</v>
      </c>
      <c r="H222" s="8"/>
      <c r="I222" s="2">
        <f t="shared" si="11"/>
        <v>0</v>
      </c>
      <c r="J222" s="2" t="s">
        <v>1552</v>
      </c>
      <c r="K222" s="2">
        <f t="shared" si="9"/>
        <v>37</v>
      </c>
      <c r="L222" s="2" t="s">
        <v>1167</v>
      </c>
      <c r="M222" s="2"/>
      <c r="N222" s="9" t="s">
        <v>1534</v>
      </c>
      <c r="O222" s="8" t="s">
        <v>1535</v>
      </c>
      <c r="P222" s="8" t="s">
        <v>37</v>
      </c>
      <c r="Q222" s="8" t="s">
        <v>38</v>
      </c>
      <c r="R222" s="8" t="s">
        <v>38</v>
      </c>
      <c r="S222" s="11" t="s">
        <v>102</v>
      </c>
      <c r="T222" s="2" t="s">
        <v>1536</v>
      </c>
      <c r="U222" s="2">
        <v>30057579</v>
      </c>
      <c r="V222" s="2"/>
      <c r="W222" s="2"/>
      <c r="X222" s="2"/>
      <c r="Y222" s="2" t="s">
        <v>1537</v>
      </c>
      <c r="Z222" s="2" t="s">
        <v>42</v>
      </c>
      <c r="AA222" s="2"/>
    </row>
    <row r="223" spans="1:27" x14ac:dyDescent="0.2">
      <c r="A223" s="2" t="s">
        <v>1553</v>
      </c>
      <c r="B223" s="24" t="s">
        <v>1554</v>
      </c>
      <c r="C223" s="24"/>
      <c r="D223" s="2"/>
      <c r="E223" s="6" t="s">
        <v>1226</v>
      </c>
      <c r="F223" s="8" t="s">
        <v>1555</v>
      </c>
      <c r="G223" s="8">
        <f t="shared" si="10"/>
        <v>65</v>
      </c>
      <c r="H223" s="8"/>
      <c r="I223" s="2">
        <f t="shared" si="11"/>
        <v>0</v>
      </c>
      <c r="J223" s="2" t="s">
        <v>1555</v>
      </c>
      <c r="K223" s="2">
        <f t="shared" si="9"/>
        <v>65</v>
      </c>
      <c r="L223" s="2" t="s">
        <v>1167</v>
      </c>
      <c r="M223" s="2"/>
      <c r="N223" s="9" t="s">
        <v>1534</v>
      </c>
      <c r="O223" s="8" t="s">
        <v>1535</v>
      </c>
      <c r="P223" s="8" t="s">
        <v>37</v>
      </c>
      <c r="Q223" s="8" t="s">
        <v>38</v>
      </c>
      <c r="R223" s="8" t="s">
        <v>38</v>
      </c>
      <c r="S223" s="11" t="s">
        <v>102</v>
      </c>
      <c r="T223" s="2" t="s">
        <v>1536</v>
      </c>
      <c r="U223" s="2">
        <v>30057579</v>
      </c>
      <c r="V223" s="2"/>
      <c r="W223" s="2"/>
      <c r="X223" s="2"/>
      <c r="Y223" s="2" t="s">
        <v>1537</v>
      </c>
      <c r="Z223" s="2" t="s">
        <v>42</v>
      </c>
      <c r="AA223" s="2"/>
    </row>
    <row r="224" spans="1:27" x14ac:dyDescent="0.2">
      <c r="A224" s="2" t="s">
        <v>1556</v>
      </c>
      <c r="B224" s="24" t="s">
        <v>1557</v>
      </c>
      <c r="C224" s="24"/>
      <c r="D224" s="2"/>
      <c r="E224" s="6" t="s">
        <v>1226</v>
      </c>
      <c r="F224" s="8" t="s">
        <v>1558</v>
      </c>
      <c r="G224" s="8">
        <f t="shared" si="10"/>
        <v>20</v>
      </c>
      <c r="H224" s="8"/>
      <c r="I224" s="2">
        <f t="shared" si="11"/>
        <v>0</v>
      </c>
      <c r="J224" s="2" t="s">
        <v>1558</v>
      </c>
      <c r="K224" s="2">
        <f t="shared" si="9"/>
        <v>20</v>
      </c>
      <c r="L224" s="2" t="s">
        <v>1167</v>
      </c>
      <c r="M224" s="2"/>
      <c r="N224" s="9" t="s">
        <v>1263</v>
      </c>
      <c r="O224" s="8"/>
      <c r="P224" s="8" t="s">
        <v>37</v>
      </c>
      <c r="Q224" s="8" t="s">
        <v>38</v>
      </c>
      <c r="R224" s="8" t="s">
        <v>38</v>
      </c>
      <c r="S224" s="11" t="s">
        <v>102</v>
      </c>
      <c r="T224" s="2" t="s">
        <v>1559</v>
      </c>
      <c r="U224" s="2">
        <v>22371493</v>
      </c>
      <c r="V224" s="2"/>
      <c r="W224" s="2"/>
      <c r="X224" s="2"/>
      <c r="Y224" s="2" t="s">
        <v>1560</v>
      </c>
      <c r="Z224" s="2" t="s">
        <v>42</v>
      </c>
      <c r="AA224" s="2"/>
    </row>
    <row r="225" spans="1:27" x14ac:dyDescent="0.2">
      <c r="A225" s="2" t="s">
        <v>1561</v>
      </c>
      <c r="B225" s="24" t="s">
        <v>1562</v>
      </c>
      <c r="C225" s="24"/>
      <c r="D225" s="2"/>
      <c r="E225" s="6" t="s">
        <v>1226</v>
      </c>
      <c r="F225" s="8" t="s">
        <v>1563</v>
      </c>
      <c r="G225" s="8">
        <f t="shared" si="10"/>
        <v>21</v>
      </c>
      <c r="H225" s="8"/>
      <c r="I225" s="2">
        <f t="shared" si="11"/>
        <v>0</v>
      </c>
      <c r="J225" s="2" t="s">
        <v>1563</v>
      </c>
      <c r="K225" s="2">
        <f t="shared" si="9"/>
        <v>21</v>
      </c>
      <c r="L225" s="2" t="s">
        <v>1167</v>
      </c>
      <c r="M225" s="2"/>
      <c r="N225" s="9" t="s">
        <v>1263</v>
      </c>
      <c r="O225" s="8"/>
      <c r="P225" s="8" t="s">
        <v>37</v>
      </c>
      <c r="Q225" s="8" t="s">
        <v>38</v>
      </c>
      <c r="R225" s="8" t="s">
        <v>38</v>
      </c>
      <c r="S225" s="11" t="s">
        <v>102</v>
      </c>
      <c r="T225" s="2" t="s">
        <v>1559</v>
      </c>
      <c r="U225" s="2">
        <v>22371493</v>
      </c>
      <c r="V225" s="2"/>
      <c r="W225" s="2"/>
      <c r="X225" s="2"/>
      <c r="Y225" s="2" t="s">
        <v>1560</v>
      </c>
      <c r="Z225" s="2" t="s">
        <v>42</v>
      </c>
      <c r="AA225" s="2"/>
    </row>
    <row r="226" spans="1:27" x14ac:dyDescent="0.2">
      <c r="A226" s="2" t="s">
        <v>1564</v>
      </c>
      <c r="B226" s="24" t="s">
        <v>1565</v>
      </c>
      <c r="C226" s="24"/>
      <c r="D226" s="2"/>
      <c r="E226" s="6" t="s">
        <v>1226</v>
      </c>
      <c r="F226" s="8" t="s">
        <v>1566</v>
      </c>
      <c r="G226" s="8">
        <f t="shared" si="10"/>
        <v>22</v>
      </c>
      <c r="H226" s="8"/>
      <c r="I226" s="2">
        <f t="shared" si="11"/>
        <v>0</v>
      </c>
      <c r="J226" s="2" t="s">
        <v>1566</v>
      </c>
      <c r="K226" s="2">
        <f t="shared" si="9"/>
        <v>22</v>
      </c>
      <c r="L226" s="2" t="s">
        <v>1167</v>
      </c>
      <c r="M226" s="2"/>
      <c r="N226" s="9" t="s">
        <v>1369</v>
      </c>
      <c r="O226" s="8"/>
      <c r="P226" s="8" t="s">
        <v>37</v>
      </c>
      <c r="Q226" s="8" t="s">
        <v>38</v>
      </c>
      <c r="R226" s="8" t="s">
        <v>38</v>
      </c>
      <c r="S226" s="11" t="s">
        <v>102</v>
      </c>
      <c r="T226" s="2" t="s">
        <v>1567</v>
      </c>
      <c r="U226" s="2">
        <v>25869678</v>
      </c>
      <c r="V226" s="2"/>
      <c r="W226" s="2" t="s">
        <v>1568</v>
      </c>
      <c r="X226" s="2"/>
      <c r="Y226" s="2" t="s">
        <v>1569</v>
      </c>
      <c r="Z226" s="2" t="s">
        <v>42</v>
      </c>
      <c r="AA226" s="2"/>
    </row>
    <row r="227" spans="1:27" x14ac:dyDescent="0.2">
      <c r="A227" s="2" t="s">
        <v>1570</v>
      </c>
      <c r="B227" s="24" t="s">
        <v>1571</v>
      </c>
      <c r="C227" s="24"/>
      <c r="D227" s="2"/>
      <c r="E227" s="6" t="s">
        <v>1226</v>
      </c>
      <c r="F227" s="8" t="s">
        <v>1572</v>
      </c>
      <c r="G227" s="8">
        <f t="shared" si="10"/>
        <v>43</v>
      </c>
      <c r="H227" s="8"/>
      <c r="I227" s="2">
        <f t="shared" si="11"/>
        <v>0</v>
      </c>
      <c r="J227" s="2" t="s">
        <v>1572</v>
      </c>
      <c r="K227" s="2">
        <f t="shared" si="9"/>
        <v>43</v>
      </c>
      <c r="L227" s="2" t="s">
        <v>1167</v>
      </c>
      <c r="M227" s="2"/>
      <c r="N227" s="9" t="s">
        <v>1573</v>
      </c>
      <c r="O227" s="8" t="s">
        <v>1574</v>
      </c>
      <c r="P227" s="8" t="s">
        <v>37</v>
      </c>
      <c r="Q227" s="8" t="s">
        <v>38</v>
      </c>
      <c r="R227" s="8" t="s">
        <v>38</v>
      </c>
      <c r="S227" s="11" t="s">
        <v>102</v>
      </c>
      <c r="T227" s="2" t="s">
        <v>1575</v>
      </c>
      <c r="U227" s="2">
        <v>34664551</v>
      </c>
      <c r="V227" s="2"/>
      <c r="W227" s="2"/>
      <c r="X227" s="2"/>
      <c r="Y227" s="2" t="s">
        <v>1576</v>
      </c>
      <c r="Z227" s="2" t="s">
        <v>42</v>
      </c>
      <c r="AA227" s="2" t="s">
        <v>1577</v>
      </c>
    </row>
    <row r="228" spans="1:27" x14ac:dyDescent="0.2">
      <c r="A228" s="2" t="s">
        <v>1578</v>
      </c>
      <c r="B228" s="24" t="s">
        <v>1579</v>
      </c>
      <c r="C228" s="24"/>
      <c r="D228" s="2"/>
      <c r="E228" s="6" t="s">
        <v>1226</v>
      </c>
      <c r="F228" s="8" t="s">
        <v>1580</v>
      </c>
      <c r="G228" s="8">
        <f t="shared" si="10"/>
        <v>43</v>
      </c>
      <c r="H228" s="8"/>
      <c r="I228" s="2">
        <f t="shared" si="11"/>
        <v>0</v>
      </c>
      <c r="J228" s="2" t="s">
        <v>1580</v>
      </c>
      <c r="K228" s="2">
        <f t="shared" si="9"/>
        <v>43</v>
      </c>
      <c r="L228" s="2" t="s">
        <v>1167</v>
      </c>
      <c r="M228" s="2"/>
      <c r="N228" s="9" t="s">
        <v>1573</v>
      </c>
      <c r="O228" s="8" t="s">
        <v>1574</v>
      </c>
      <c r="P228" s="8" t="s">
        <v>37</v>
      </c>
      <c r="Q228" s="8" t="s">
        <v>38</v>
      </c>
      <c r="R228" s="8" t="s">
        <v>38</v>
      </c>
      <c r="S228" s="11" t="s">
        <v>102</v>
      </c>
      <c r="T228" s="2" t="s">
        <v>1575</v>
      </c>
      <c r="U228" s="2">
        <v>34664551</v>
      </c>
      <c r="V228" s="2"/>
      <c r="W228" s="2"/>
      <c r="X228" s="2"/>
      <c r="Y228" s="2" t="s">
        <v>1576</v>
      </c>
      <c r="Z228" s="2" t="s">
        <v>42</v>
      </c>
      <c r="AA228" s="2" t="s">
        <v>1577</v>
      </c>
    </row>
    <row r="229" spans="1:27" x14ac:dyDescent="0.2">
      <c r="A229" s="2" t="s">
        <v>1581</v>
      </c>
      <c r="B229" s="24" t="s">
        <v>1582</v>
      </c>
      <c r="C229" s="24"/>
      <c r="D229" s="2"/>
      <c r="E229" s="6" t="s">
        <v>1226</v>
      </c>
      <c r="F229" s="8" t="s">
        <v>1583</v>
      </c>
      <c r="G229" s="8">
        <f t="shared" si="10"/>
        <v>43</v>
      </c>
      <c r="H229" s="8"/>
      <c r="I229" s="2">
        <f t="shared" si="11"/>
        <v>0</v>
      </c>
      <c r="J229" s="2" t="s">
        <v>1583</v>
      </c>
      <c r="K229" s="2">
        <f t="shared" si="9"/>
        <v>43</v>
      </c>
      <c r="L229" s="2" t="s">
        <v>1167</v>
      </c>
      <c r="M229" s="2"/>
      <c r="N229" s="9" t="s">
        <v>1573</v>
      </c>
      <c r="O229" s="8" t="s">
        <v>1574</v>
      </c>
      <c r="P229" s="8" t="s">
        <v>37</v>
      </c>
      <c r="Q229" s="8" t="s">
        <v>38</v>
      </c>
      <c r="R229" s="8" t="s">
        <v>38</v>
      </c>
      <c r="S229" s="11" t="s">
        <v>102</v>
      </c>
      <c r="T229" s="2" t="s">
        <v>1575</v>
      </c>
      <c r="U229" s="2">
        <v>34664551</v>
      </c>
      <c r="V229" s="2"/>
      <c r="W229" s="2"/>
      <c r="X229" s="2"/>
      <c r="Y229" s="2" t="s">
        <v>1576</v>
      </c>
      <c r="Z229" s="2" t="s">
        <v>42</v>
      </c>
      <c r="AA229" s="2" t="s">
        <v>1577</v>
      </c>
    </row>
    <row r="230" spans="1:27" x14ac:dyDescent="0.2">
      <c r="A230" s="2" t="s">
        <v>1584</v>
      </c>
      <c r="B230" s="24" t="s">
        <v>1585</v>
      </c>
      <c r="C230" s="24"/>
      <c r="D230" s="2"/>
      <c r="E230" s="15" t="s">
        <v>1586</v>
      </c>
      <c r="F230" s="8" t="s">
        <v>1587</v>
      </c>
      <c r="G230" s="8">
        <f t="shared" si="10"/>
        <v>22</v>
      </c>
      <c r="H230" s="8"/>
      <c r="I230" s="2">
        <f>LEN(H230)</f>
        <v>0</v>
      </c>
      <c r="J230" s="2" t="s">
        <v>1587</v>
      </c>
      <c r="K230" s="2">
        <f>LEN(J230)</f>
        <v>22</v>
      </c>
      <c r="L230" s="2" t="s">
        <v>1167</v>
      </c>
      <c r="M230" s="2"/>
      <c r="N230" s="9" t="s">
        <v>1588</v>
      </c>
      <c r="O230" s="8" t="s">
        <v>1589</v>
      </c>
      <c r="P230" s="8" t="s">
        <v>37</v>
      </c>
      <c r="Q230" s="8" t="s">
        <v>38</v>
      </c>
      <c r="R230" s="8" t="s">
        <v>38</v>
      </c>
      <c r="S230" s="11" t="s">
        <v>102</v>
      </c>
      <c r="T230" s="2" t="s">
        <v>1590</v>
      </c>
      <c r="U230" s="2">
        <v>16614924</v>
      </c>
      <c r="V230" s="2"/>
      <c r="W230" s="2"/>
      <c r="X230" s="2"/>
      <c r="Y230" s="2" t="s">
        <v>1591</v>
      </c>
      <c r="Z230" s="2" t="s">
        <v>42</v>
      </c>
      <c r="AA230" s="2"/>
    </row>
    <row r="231" spans="1:27" x14ac:dyDescent="0.2">
      <c r="A231" s="2" t="s">
        <v>1592</v>
      </c>
      <c r="B231" s="2" t="s">
        <v>1593</v>
      </c>
      <c r="C231" s="2"/>
      <c r="D231" s="2"/>
      <c r="E231" s="15" t="s">
        <v>1586</v>
      </c>
      <c r="F231" s="2" t="s">
        <v>1594</v>
      </c>
      <c r="G231" s="2">
        <f t="shared" si="10"/>
        <v>52</v>
      </c>
      <c r="H231" s="2"/>
      <c r="I231" s="2">
        <f>LEN(H231)</f>
        <v>0</v>
      </c>
      <c r="J231" s="2" t="s">
        <v>1595</v>
      </c>
      <c r="K231" s="2">
        <f>LEN(J231)</f>
        <v>52</v>
      </c>
      <c r="L231" s="2" t="s">
        <v>1167</v>
      </c>
      <c r="M231" s="2"/>
      <c r="N231" s="7" t="s">
        <v>1411</v>
      </c>
      <c r="O231" s="2" t="s">
        <v>1596</v>
      </c>
      <c r="P231" s="8" t="s">
        <v>37</v>
      </c>
      <c r="Q231" s="2" t="s">
        <v>38</v>
      </c>
      <c r="R231" s="2" t="s">
        <v>38</v>
      </c>
      <c r="S231" s="2"/>
      <c r="T231" s="2" t="s">
        <v>1597</v>
      </c>
      <c r="U231" s="2">
        <v>37352569</v>
      </c>
      <c r="V231" s="2"/>
      <c r="W231" s="2"/>
      <c r="X231" s="2"/>
      <c r="Y231" s="2" t="s">
        <v>1598</v>
      </c>
      <c r="Z231" s="2" t="s">
        <v>452</v>
      </c>
      <c r="AA231" s="2" t="s">
        <v>1426</v>
      </c>
    </row>
    <row r="232" spans="1:27" x14ac:dyDescent="0.2">
      <c r="A232" s="2" t="s">
        <v>1599</v>
      </c>
      <c r="B232" s="2" t="s">
        <v>1600</v>
      </c>
      <c r="C232" s="2" t="s">
        <v>1601</v>
      </c>
      <c r="D232" s="2"/>
      <c r="E232" s="15" t="s">
        <v>1586</v>
      </c>
      <c r="F232" s="2" t="s">
        <v>1602</v>
      </c>
      <c r="G232" s="2">
        <f t="shared" si="10"/>
        <v>48</v>
      </c>
      <c r="H232" s="2"/>
      <c r="I232" s="2">
        <f>LEN(H232)</f>
        <v>0</v>
      </c>
      <c r="J232" s="2" t="s">
        <v>1602</v>
      </c>
      <c r="K232" s="2">
        <f>LEN(J232)</f>
        <v>48</v>
      </c>
      <c r="L232" s="2" t="s">
        <v>1167</v>
      </c>
      <c r="M232" s="2"/>
      <c r="N232" s="7" t="s">
        <v>1603</v>
      </c>
      <c r="O232" s="2" t="s">
        <v>1604</v>
      </c>
      <c r="P232" s="8" t="s">
        <v>37</v>
      </c>
      <c r="Q232" s="2" t="s">
        <v>38</v>
      </c>
      <c r="R232" s="2" t="s">
        <v>38</v>
      </c>
      <c r="S232" s="2"/>
      <c r="T232" s="2" t="s">
        <v>1605</v>
      </c>
      <c r="U232" s="2">
        <v>37396380</v>
      </c>
      <c r="V232" s="2"/>
      <c r="W232" s="2"/>
      <c r="X232" s="2"/>
      <c r="Y232" s="2" t="s">
        <v>1606</v>
      </c>
      <c r="Z232" s="2" t="s">
        <v>452</v>
      </c>
      <c r="AA232" s="2"/>
    </row>
    <row r="233" spans="1:27" x14ac:dyDescent="0.2">
      <c r="A233" s="2" t="s">
        <v>1607</v>
      </c>
      <c r="B233" s="24" t="s">
        <v>1608</v>
      </c>
      <c r="C233" s="24"/>
      <c r="D233" s="2"/>
      <c r="E233" s="15" t="s">
        <v>1609</v>
      </c>
      <c r="F233" s="8" t="s">
        <v>1610</v>
      </c>
      <c r="G233" s="2">
        <f t="shared" si="10"/>
        <v>69</v>
      </c>
      <c r="H233" s="2" t="s">
        <v>1611</v>
      </c>
      <c r="I233" s="2">
        <f t="shared" si="11"/>
        <v>32</v>
      </c>
      <c r="J233" s="2" t="s">
        <v>1612</v>
      </c>
      <c r="K233" s="2">
        <f t="shared" ref="K233:K300" si="12">LEN(J233)</f>
        <v>37</v>
      </c>
      <c r="L233" s="2" t="s">
        <v>1613</v>
      </c>
      <c r="M233" s="2"/>
      <c r="N233" s="9" t="s">
        <v>1614</v>
      </c>
      <c r="O233" s="8" t="s">
        <v>1615</v>
      </c>
      <c r="P233" s="8" t="s">
        <v>37</v>
      </c>
      <c r="Q233" s="8" t="s">
        <v>38</v>
      </c>
      <c r="R233" s="8" t="s">
        <v>38</v>
      </c>
      <c r="S233" s="11" t="s">
        <v>102</v>
      </c>
      <c r="T233" s="2" t="s">
        <v>1616</v>
      </c>
      <c r="U233" s="2">
        <v>31767775</v>
      </c>
      <c r="V233" s="2"/>
      <c r="W233" s="2"/>
      <c r="X233" s="2" t="s">
        <v>1617</v>
      </c>
      <c r="Y233" s="2" t="s">
        <v>1618</v>
      </c>
      <c r="Z233" s="2" t="s">
        <v>42</v>
      </c>
      <c r="AA233" s="2" t="s">
        <v>1426</v>
      </c>
    </row>
    <row r="234" spans="1:27" x14ac:dyDescent="0.2">
      <c r="A234" s="2" t="s">
        <v>1619</v>
      </c>
      <c r="B234" s="24" t="s">
        <v>1620</v>
      </c>
      <c r="C234" s="24"/>
      <c r="D234" s="2"/>
      <c r="E234" s="15" t="s">
        <v>1609</v>
      </c>
      <c r="F234" s="8" t="s">
        <v>1621</v>
      </c>
      <c r="G234" s="8">
        <f t="shared" si="10"/>
        <v>53</v>
      </c>
      <c r="H234" s="2" t="s">
        <v>1622</v>
      </c>
      <c r="I234" s="2">
        <f t="shared" si="11"/>
        <v>22</v>
      </c>
      <c r="J234" s="2" t="s">
        <v>1623</v>
      </c>
      <c r="K234" s="2">
        <f t="shared" si="12"/>
        <v>31</v>
      </c>
      <c r="L234" s="2" t="s">
        <v>33</v>
      </c>
      <c r="M234" s="2" t="s">
        <v>34</v>
      </c>
      <c r="N234" s="9" t="s">
        <v>155</v>
      </c>
      <c r="O234" s="8" t="s">
        <v>1624</v>
      </c>
      <c r="P234" s="8" t="s">
        <v>37</v>
      </c>
      <c r="Q234" s="8" t="s">
        <v>38</v>
      </c>
      <c r="R234" s="8" t="s">
        <v>38</v>
      </c>
      <c r="S234" s="11" t="s">
        <v>1625</v>
      </c>
      <c r="T234" s="2" t="s">
        <v>1626</v>
      </c>
      <c r="U234" s="2">
        <v>20070442</v>
      </c>
      <c r="V234" s="2"/>
      <c r="W234" s="2"/>
      <c r="X234" s="2"/>
      <c r="Y234" s="2" t="s">
        <v>1627</v>
      </c>
      <c r="Z234" s="2" t="s">
        <v>42</v>
      </c>
      <c r="AA234" s="2"/>
    </row>
    <row r="235" spans="1:27" x14ac:dyDescent="0.2">
      <c r="A235" s="2" t="s">
        <v>1628</v>
      </c>
      <c r="B235" s="24" t="s">
        <v>1629</v>
      </c>
      <c r="C235" s="24"/>
      <c r="D235" s="2"/>
      <c r="E235" s="15" t="s">
        <v>1609</v>
      </c>
      <c r="F235" s="8" t="s">
        <v>1630</v>
      </c>
      <c r="G235" s="8">
        <f t="shared" si="10"/>
        <v>57</v>
      </c>
      <c r="H235" s="2" t="s">
        <v>1631</v>
      </c>
      <c r="I235" s="2">
        <f t="shared" si="11"/>
        <v>25</v>
      </c>
      <c r="J235" s="2" t="s">
        <v>1632</v>
      </c>
      <c r="K235" s="2">
        <f t="shared" si="12"/>
        <v>32</v>
      </c>
      <c r="L235" s="2" t="s">
        <v>33</v>
      </c>
      <c r="M235" s="2" t="s">
        <v>34</v>
      </c>
      <c r="N235" s="9" t="s">
        <v>155</v>
      </c>
      <c r="O235" s="8" t="s">
        <v>1624</v>
      </c>
      <c r="P235" s="8" t="s">
        <v>37</v>
      </c>
      <c r="Q235" s="8" t="s">
        <v>38</v>
      </c>
      <c r="R235" s="8" t="s">
        <v>38</v>
      </c>
      <c r="S235" s="2" t="s">
        <v>1625</v>
      </c>
      <c r="T235" s="2" t="s">
        <v>1626</v>
      </c>
      <c r="U235" s="2">
        <v>20070442</v>
      </c>
      <c r="V235" s="2"/>
      <c r="W235" s="2"/>
      <c r="X235" s="2"/>
      <c r="Y235" s="2" t="s">
        <v>1627</v>
      </c>
      <c r="Z235" s="2" t="s">
        <v>42</v>
      </c>
      <c r="AA235" s="2"/>
    </row>
    <row r="236" spans="1:27" x14ac:dyDescent="0.2">
      <c r="A236" s="2" t="s">
        <v>1633</v>
      </c>
      <c r="B236" s="24" t="s">
        <v>1634</v>
      </c>
      <c r="C236" s="24"/>
      <c r="D236" s="2"/>
      <c r="E236" s="15" t="s">
        <v>1609</v>
      </c>
      <c r="F236" s="2" t="s">
        <v>1635</v>
      </c>
      <c r="G236" s="2">
        <f t="shared" si="10"/>
        <v>67</v>
      </c>
      <c r="H236" s="2" t="s">
        <v>1636</v>
      </c>
      <c r="I236" s="2">
        <f t="shared" si="11"/>
        <v>23</v>
      </c>
      <c r="J236" s="2" t="s">
        <v>1637</v>
      </c>
      <c r="K236" s="2">
        <f t="shared" si="12"/>
        <v>44</v>
      </c>
      <c r="L236" s="2" t="s">
        <v>1613</v>
      </c>
      <c r="M236" s="2"/>
      <c r="N236" s="9" t="s">
        <v>511</v>
      </c>
      <c r="O236" s="8" t="s">
        <v>1319</v>
      </c>
      <c r="P236" s="8" t="s">
        <v>37</v>
      </c>
      <c r="Q236" s="8" t="s">
        <v>38</v>
      </c>
      <c r="R236" s="8" t="s">
        <v>38</v>
      </c>
      <c r="S236" s="2" t="s">
        <v>1320</v>
      </c>
      <c r="T236" s="8" t="s">
        <v>1638</v>
      </c>
      <c r="U236" s="2">
        <v>12801935</v>
      </c>
      <c r="V236" s="2"/>
      <c r="W236" s="2" t="s">
        <v>1639</v>
      </c>
      <c r="X236" s="2"/>
      <c r="Y236" s="2" t="s">
        <v>1640</v>
      </c>
      <c r="Z236" s="2" t="s">
        <v>42</v>
      </c>
      <c r="AA236" s="2"/>
    </row>
    <row r="237" spans="1:27" x14ac:dyDescent="0.2">
      <c r="A237" s="2" t="s">
        <v>1641</v>
      </c>
      <c r="B237" s="24" t="s">
        <v>1642</v>
      </c>
      <c r="C237" s="24"/>
      <c r="D237" s="2"/>
      <c r="E237" s="15" t="s">
        <v>1609</v>
      </c>
      <c r="F237" s="2" t="s">
        <v>1643</v>
      </c>
      <c r="G237" s="8">
        <f t="shared" si="10"/>
        <v>84</v>
      </c>
      <c r="H237" s="2" t="s">
        <v>1644</v>
      </c>
      <c r="I237" s="2">
        <f t="shared" si="11"/>
        <v>30</v>
      </c>
      <c r="J237" s="2" t="s">
        <v>1645</v>
      </c>
      <c r="K237" s="2">
        <f t="shared" si="12"/>
        <v>54</v>
      </c>
      <c r="L237" s="2" t="s">
        <v>33</v>
      </c>
      <c r="M237" s="2" t="s">
        <v>34</v>
      </c>
      <c r="N237" s="9" t="s">
        <v>1646</v>
      </c>
      <c r="O237" s="8" t="s">
        <v>1647</v>
      </c>
      <c r="P237" s="8" t="s">
        <v>37</v>
      </c>
      <c r="Q237" s="8" t="s">
        <v>38</v>
      </c>
      <c r="R237" s="8" t="s">
        <v>38</v>
      </c>
      <c r="S237" s="2" t="s">
        <v>1648</v>
      </c>
      <c r="T237" s="2" t="s">
        <v>1649</v>
      </c>
      <c r="U237" s="2">
        <v>34934110</v>
      </c>
      <c r="V237" s="2"/>
      <c r="W237" s="2"/>
      <c r="X237" s="2"/>
      <c r="Y237" s="2" t="s">
        <v>1650</v>
      </c>
      <c r="Z237" s="2" t="s">
        <v>42</v>
      </c>
      <c r="AA237" s="2"/>
    </row>
    <row r="238" spans="1:27" x14ac:dyDescent="0.2">
      <c r="A238" s="2" t="s">
        <v>1651</v>
      </c>
      <c r="B238" s="24" t="s">
        <v>1652</v>
      </c>
      <c r="C238" s="24"/>
      <c r="D238" s="2"/>
      <c r="E238" s="15" t="s">
        <v>1609</v>
      </c>
      <c r="F238" s="2" t="s">
        <v>1653</v>
      </c>
      <c r="G238" s="8">
        <f t="shared" si="10"/>
        <v>79</v>
      </c>
      <c r="H238" s="2" t="s">
        <v>1654</v>
      </c>
      <c r="I238" s="2">
        <f t="shared" si="11"/>
        <v>23</v>
      </c>
      <c r="J238" s="2" t="s">
        <v>1655</v>
      </c>
      <c r="K238" s="2">
        <f t="shared" si="12"/>
        <v>56</v>
      </c>
      <c r="L238" s="2" t="s">
        <v>33</v>
      </c>
      <c r="M238" s="2" t="s">
        <v>34</v>
      </c>
      <c r="N238" s="9" t="s">
        <v>1656</v>
      </c>
      <c r="O238" s="8" t="s">
        <v>1657</v>
      </c>
      <c r="P238" s="8" t="s">
        <v>37</v>
      </c>
      <c r="Q238" s="8" t="s">
        <v>38</v>
      </c>
      <c r="R238" s="8" t="s">
        <v>38</v>
      </c>
      <c r="S238" s="11" t="s">
        <v>1658</v>
      </c>
      <c r="T238" s="8" t="s">
        <v>1659</v>
      </c>
      <c r="U238" s="2">
        <v>11157218</v>
      </c>
      <c r="V238" s="2"/>
      <c r="W238" s="2"/>
      <c r="X238" s="2"/>
      <c r="Y238" s="2" t="s">
        <v>1660</v>
      </c>
      <c r="Z238" s="2" t="s">
        <v>42</v>
      </c>
      <c r="AA238" s="2"/>
    </row>
    <row r="239" spans="1:27" x14ac:dyDescent="0.2">
      <c r="A239" s="2" t="s">
        <v>1661</v>
      </c>
      <c r="B239" s="24" t="s">
        <v>1662</v>
      </c>
      <c r="C239" s="24"/>
      <c r="D239" s="2"/>
      <c r="E239" s="15" t="s">
        <v>1609</v>
      </c>
      <c r="F239" s="2" t="s">
        <v>1663</v>
      </c>
      <c r="G239" s="8">
        <f t="shared" si="10"/>
        <v>75</v>
      </c>
      <c r="H239" s="2" t="s">
        <v>1664</v>
      </c>
      <c r="I239" s="2">
        <f t="shared" si="11"/>
        <v>23</v>
      </c>
      <c r="J239" s="2" t="s">
        <v>1665</v>
      </c>
      <c r="K239" s="2">
        <f t="shared" si="12"/>
        <v>52</v>
      </c>
      <c r="L239" s="2" t="s">
        <v>33</v>
      </c>
      <c r="M239" s="2" t="s">
        <v>34</v>
      </c>
      <c r="N239" s="9" t="s">
        <v>1656</v>
      </c>
      <c r="O239" s="8"/>
      <c r="P239" s="8" t="s">
        <v>37</v>
      </c>
      <c r="Q239" s="8" t="s">
        <v>38</v>
      </c>
      <c r="R239" s="8" t="s">
        <v>38</v>
      </c>
      <c r="S239" s="11" t="s">
        <v>102</v>
      </c>
      <c r="T239" s="8" t="s">
        <v>1666</v>
      </c>
      <c r="U239" s="2">
        <v>19712403</v>
      </c>
      <c r="V239" s="2"/>
      <c r="W239" s="2"/>
      <c r="X239" s="2" t="s">
        <v>1667</v>
      </c>
      <c r="Y239" s="2" t="s">
        <v>1668</v>
      </c>
      <c r="Z239" s="2" t="s">
        <v>42</v>
      </c>
      <c r="AA239" s="2" t="s">
        <v>1669</v>
      </c>
    </row>
    <row r="240" spans="1:27" x14ac:dyDescent="0.2">
      <c r="A240" s="2" t="s">
        <v>1670</v>
      </c>
      <c r="B240" s="24" t="s">
        <v>1662</v>
      </c>
      <c r="C240" s="24"/>
      <c r="D240" s="2"/>
      <c r="E240" s="15" t="s">
        <v>1609</v>
      </c>
      <c r="F240" s="2" t="s">
        <v>1671</v>
      </c>
      <c r="G240" s="8">
        <f t="shared" si="10"/>
        <v>75</v>
      </c>
      <c r="H240" s="2" t="s">
        <v>1664</v>
      </c>
      <c r="I240" s="2">
        <f t="shared" si="11"/>
        <v>23</v>
      </c>
      <c r="J240" s="2" t="s">
        <v>1672</v>
      </c>
      <c r="K240" s="2">
        <f t="shared" si="12"/>
        <v>52</v>
      </c>
      <c r="L240" s="2" t="s">
        <v>33</v>
      </c>
      <c r="M240" s="2" t="s">
        <v>34</v>
      </c>
      <c r="N240" s="9" t="s">
        <v>1656</v>
      </c>
      <c r="O240" s="8"/>
      <c r="P240" s="8" t="s">
        <v>37</v>
      </c>
      <c r="Q240" s="8" t="s">
        <v>38</v>
      </c>
      <c r="R240" s="8" t="s">
        <v>38</v>
      </c>
      <c r="S240" s="11" t="s">
        <v>102</v>
      </c>
      <c r="T240" s="8" t="s">
        <v>1666</v>
      </c>
      <c r="U240" s="2">
        <v>19712403</v>
      </c>
      <c r="V240" s="2"/>
      <c r="W240" s="2"/>
      <c r="X240" s="2"/>
      <c r="Y240" s="2" t="s">
        <v>1668</v>
      </c>
      <c r="Z240" s="2" t="s">
        <v>42</v>
      </c>
      <c r="AA240" s="2" t="s">
        <v>1669</v>
      </c>
    </row>
    <row r="241" spans="1:27" x14ac:dyDescent="0.2">
      <c r="A241" s="2" t="s">
        <v>1673</v>
      </c>
      <c r="B241" s="24" t="s">
        <v>1000</v>
      </c>
      <c r="C241" s="24"/>
      <c r="D241" s="2" t="s">
        <v>1674</v>
      </c>
      <c r="E241" s="15" t="s">
        <v>1609</v>
      </c>
      <c r="F241" s="2" t="s">
        <v>1675</v>
      </c>
      <c r="G241" s="2">
        <f t="shared" si="10"/>
        <v>85</v>
      </c>
      <c r="H241" s="2" t="s">
        <v>1002</v>
      </c>
      <c r="I241" s="2">
        <f t="shared" si="11"/>
        <v>23</v>
      </c>
      <c r="J241" s="2" t="s">
        <v>1003</v>
      </c>
      <c r="K241" s="2">
        <f t="shared" si="12"/>
        <v>62</v>
      </c>
      <c r="L241" s="2" t="s">
        <v>33</v>
      </c>
      <c r="M241" s="2" t="s">
        <v>34</v>
      </c>
      <c r="N241" s="9" t="s">
        <v>1676</v>
      </c>
      <c r="O241" s="8" t="s">
        <v>1677</v>
      </c>
      <c r="P241" s="8" t="s">
        <v>37</v>
      </c>
      <c r="Q241" s="8" t="s">
        <v>38</v>
      </c>
      <c r="R241" s="8" t="s">
        <v>38</v>
      </c>
      <c r="S241" s="11" t="s">
        <v>102</v>
      </c>
      <c r="T241" s="2" t="s">
        <v>1678</v>
      </c>
      <c r="U241" s="2">
        <v>7612252</v>
      </c>
      <c r="V241" s="2"/>
      <c r="W241" s="2"/>
      <c r="X241" s="2"/>
      <c r="Y241" s="2" t="s">
        <v>1679</v>
      </c>
      <c r="Z241" s="2" t="s">
        <v>42</v>
      </c>
      <c r="AA241" s="2" t="s">
        <v>1680</v>
      </c>
    </row>
    <row r="242" spans="1:27" x14ac:dyDescent="0.2">
      <c r="A242" s="2" t="s">
        <v>1681</v>
      </c>
      <c r="B242" s="24" t="s">
        <v>1682</v>
      </c>
      <c r="C242" s="24"/>
      <c r="D242" s="2"/>
      <c r="E242" s="15" t="s">
        <v>1609</v>
      </c>
      <c r="F242" s="2" t="s">
        <v>1683</v>
      </c>
      <c r="G242" s="2">
        <f t="shared" ref="G242:G305" si="13">LEN(F242)</f>
        <v>70</v>
      </c>
      <c r="H242" s="2" t="s">
        <v>1684</v>
      </c>
      <c r="I242" s="2">
        <f t="shared" si="11"/>
        <v>20</v>
      </c>
      <c r="J242" s="2" t="s">
        <v>1685</v>
      </c>
      <c r="K242" s="2">
        <f t="shared" si="12"/>
        <v>50</v>
      </c>
      <c r="L242" s="2" t="s">
        <v>33</v>
      </c>
      <c r="M242" s="2" t="s">
        <v>34</v>
      </c>
      <c r="N242" s="9" t="s">
        <v>1686</v>
      </c>
      <c r="O242" s="8" t="s">
        <v>1687</v>
      </c>
      <c r="P242" s="8" t="s">
        <v>37</v>
      </c>
      <c r="Q242" s="8" t="s">
        <v>38</v>
      </c>
      <c r="R242" s="8" t="s">
        <v>38</v>
      </c>
      <c r="S242" s="11" t="s">
        <v>102</v>
      </c>
      <c r="T242" s="8" t="s">
        <v>1688</v>
      </c>
      <c r="U242" s="2">
        <v>36368990</v>
      </c>
      <c r="V242" s="2"/>
      <c r="W242" s="2"/>
      <c r="X242" s="2"/>
      <c r="Y242" s="2" t="s">
        <v>1689</v>
      </c>
      <c r="Z242" s="2" t="s">
        <v>42</v>
      </c>
      <c r="AA242" s="2"/>
    </row>
    <row r="243" spans="1:27" x14ac:dyDescent="0.2">
      <c r="A243" s="2" t="s">
        <v>1690</v>
      </c>
      <c r="B243" s="24" t="s">
        <v>1691</v>
      </c>
      <c r="C243" s="24"/>
      <c r="D243" s="2"/>
      <c r="E243" s="15" t="s">
        <v>1609</v>
      </c>
      <c r="F243" s="2" t="s">
        <v>1692</v>
      </c>
      <c r="G243" s="2">
        <f t="shared" si="13"/>
        <v>74</v>
      </c>
      <c r="H243" s="2" t="s">
        <v>1693</v>
      </c>
      <c r="I243" s="2">
        <f t="shared" si="11"/>
        <v>26</v>
      </c>
      <c r="J243" s="2" t="s">
        <v>1694</v>
      </c>
      <c r="K243" s="2">
        <f t="shared" si="12"/>
        <v>48</v>
      </c>
      <c r="L243" s="2" t="s">
        <v>33</v>
      </c>
      <c r="M243" s="2" t="s">
        <v>34</v>
      </c>
      <c r="N243" s="9" t="s">
        <v>1695</v>
      </c>
      <c r="O243" s="8" t="s">
        <v>1696</v>
      </c>
      <c r="P243" s="8" t="s">
        <v>37</v>
      </c>
      <c r="Q243" s="8" t="s">
        <v>38</v>
      </c>
      <c r="R243" s="8" t="s">
        <v>38</v>
      </c>
      <c r="S243" s="2" t="s">
        <v>1697</v>
      </c>
      <c r="T243" s="8" t="s">
        <v>1698</v>
      </c>
      <c r="U243" s="2">
        <v>19411428</v>
      </c>
      <c r="V243" s="2"/>
      <c r="W243" s="2" t="s">
        <v>1699</v>
      </c>
      <c r="X243" s="2"/>
      <c r="Y243" s="2" t="s">
        <v>1700</v>
      </c>
      <c r="Z243" s="2" t="s">
        <v>42</v>
      </c>
      <c r="AA243" s="2"/>
    </row>
    <row r="244" spans="1:27" x14ac:dyDescent="0.2">
      <c r="A244" s="2" t="s">
        <v>1701</v>
      </c>
      <c r="B244" s="24" t="s">
        <v>1702</v>
      </c>
      <c r="C244" s="24"/>
      <c r="D244" s="2"/>
      <c r="E244" s="15" t="s">
        <v>1609</v>
      </c>
      <c r="F244" s="2" t="s">
        <v>1703</v>
      </c>
      <c r="G244" s="2">
        <f t="shared" si="13"/>
        <v>70</v>
      </c>
      <c r="H244" s="2" t="s">
        <v>1704</v>
      </c>
      <c r="I244" s="2">
        <f t="shared" si="11"/>
        <v>20</v>
      </c>
      <c r="J244" s="2" t="s">
        <v>1685</v>
      </c>
      <c r="K244" s="2">
        <f t="shared" si="12"/>
        <v>50</v>
      </c>
      <c r="L244" s="2" t="s">
        <v>33</v>
      </c>
      <c r="M244" s="2" t="s">
        <v>34</v>
      </c>
      <c r="N244" s="9" t="s">
        <v>566</v>
      </c>
      <c r="O244" s="8" t="s">
        <v>1705</v>
      </c>
      <c r="P244" s="8" t="s">
        <v>37</v>
      </c>
      <c r="Q244" s="8" t="s">
        <v>38</v>
      </c>
      <c r="R244" s="8" t="s">
        <v>38</v>
      </c>
      <c r="S244" s="2" t="s">
        <v>1706</v>
      </c>
      <c r="T244" s="8" t="s">
        <v>1707</v>
      </c>
      <c r="U244" s="2">
        <v>22210221</v>
      </c>
      <c r="V244" s="2"/>
      <c r="W244" s="2"/>
      <c r="X244" s="2"/>
      <c r="Y244" s="2" t="s">
        <v>1708</v>
      </c>
      <c r="Z244" s="2" t="s">
        <v>42</v>
      </c>
      <c r="AA244" s="2"/>
    </row>
    <row r="245" spans="1:27" x14ac:dyDescent="0.2">
      <c r="A245" s="2" t="s">
        <v>1709</v>
      </c>
      <c r="B245" s="24" t="s">
        <v>1710</v>
      </c>
      <c r="C245" s="24"/>
      <c r="D245" s="2"/>
      <c r="E245" s="15" t="s">
        <v>1609</v>
      </c>
      <c r="F245" s="8" t="s">
        <v>1711</v>
      </c>
      <c r="G245" s="8">
        <f t="shared" si="13"/>
        <v>63</v>
      </c>
      <c r="H245" s="2" t="s">
        <v>1684</v>
      </c>
      <c r="I245" s="2">
        <f t="shared" si="11"/>
        <v>20</v>
      </c>
      <c r="J245" s="2" t="s">
        <v>1712</v>
      </c>
      <c r="K245" s="2">
        <f t="shared" si="12"/>
        <v>43</v>
      </c>
      <c r="L245" s="2" t="s">
        <v>33</v>
      </c>
      <c r="M245" s="2" t="s">
        <v>34</v>
      </c>
      <c r="N245" s="9" t="s">
        <v>566</v>
      </c>
      <c r="O245" s="8">
        <v>21881</v>
      </c>
      <c r="P245" s="8" t="s">
        <v>37</v>
      </c>
      <c r="Q245" s="8" t="s">
        <v>38</v>
      </c>
      <c r="R245" s="8" t="s">
        <v>38</v>
      </c>
      <c r="S245" s="11" t="s">
        <v>102</v>
      </c>
      <c r="T245" s="8" t="s">
        <v>1713</v>
      </c>
      <c r="U245" s="2">
        <v>23666326</v>
      </c>
      <c r="V245" s="2"/>
      <c r="W245" s="2"/>
      <c r="X245" s="2"/>
      <c r="Y245" s="2" t="s">
        <v>1714</v>
      </c>
      <c r="Z245" s="2" t="s">
        <v>42</v>
      </c>
      <c r="AA245" s="2"/>
    </row>
    <row r="246" spans="1:27" x14ac:dyDescent="0.2">
      <c r="A246" s="2" t="s">
        <v>1715</v>
      </c>
      <c r="B246" s="24" t="s">
        <v>1716</v>
      </c>
      <c r="C246" s="24"/>
      <c r="D246" s="2"/>
      <c r="E246" s="15" t="s">
        <v>1609</v>
      </c>
      <c r="F246" s="2" t="s">
        <v>1717</v>
      </c>
      <c r="G246" s="8">
        <f t="shared" si="13"/>
        <v>71</v>
      </c>
      <c r="H246" s="2" t="s">
        <v>1718</v>
      </c>
      <c r="I246" s="2">
        <f t="shared" si="11"/>
        <v>20</v>
      </c>
      <c r="J246" s="2" t="s">
        <v>1719</v>
      </c>
      <c r="K246" s="2">
        <f t="shared" si="12"/>
        <v>51</v>
      </c>
      <c r="L246" s="2" t="s">
        <v>33</v>
      </c>
      <c r="M246" s="2" t="s">
        <v>34</v>
      </c>
      <c r="N246" s="9" t="s">
        <v>566</v>
      </c>
      <c r="O246" s="8">
        <v>21881</v>
      </c>
      <c r="P246" s="8" t="s">
        <v>37</v>
      </c>
      <c r="Q246" s="8" t="s">
        <v>38</v>
      </c>
      <c r="R246" s="8" t="s">
        <v>38</v>
      </c>
      <c r="S246" s="11" t="s">
        <v>102</v>
      </c>
      <c r="T246" s="2" t="s">
        <v>1720</v>
      </c>
      <c r="U246" s="2">
        <v>30361679</v>
      </c>
      <c r="V246" s="2"/>
      <c r="W246" s="2"/>
      <c r="X246" s="2"/>
      <c r="Y246" s="2" t="s">
        <v>1721</v>
      </c>
      <c r="Z246" s="2" t="s">
        <v>42</v>
      </c>
      <c r="AA246" s="2"/>
    </row>
    <row r="247" spans="1:27" x14ac:dyDescent="0.2">
      <c r="A247" s="2" t="s">
        <v>1722</v>
      </c>
      <c r="B247" s="24" t="s">
        <v>1723</v>
      </c>
      <c r="C247" s="24"/>
      <c r="D247" s="2"/>
      <c r="E247" s="15" t="s">
        <v>1609</v>
      </c>
      <c r="F247" s="2" t="s">
        <v>1724</v>
      </c>
      <c r="G247" s="2">
        <f t="shared" si="13"/>
        <v>72</v>
      </c>
      <c r="H247" s="2" t="s">
        <v>1725</v>
      </c>
      <c r="I247" s="2">
        <f t="shared" si="11"/>
        <v>21</v>
      </c>
      <c r="J247" s="2" t="s">
        <v>1726</v>
      </c>
      <c r="K247" s="2">
        <f t="shared" si="12"/>
        <v>51</v>
      </c>
      <c r="L247" s="2" t="s">
        <v>33</v>
      </c>
      <c r="M247" s="2" t="s">
        <v>34</v>
      </c>
      <c r="N247" s="9" t="s">
        <v>566</v>
      </c>
      <c r="O247" s="8">
        <v>21881</v>
      </c>
      <c r="P247" s="8" t="s">
        <v>37</v>
      </c>
      <c r="Q247" s="8" t="s">
        <v>38</v>
      </c>
      <c r="R247" s="8" t="s">
        <v>38</v>
      </c>
      <c r="S247" s="11" t="s">
        <v>102</v>
      </c>
      <c r="T247" s="2" t="s">
        <v>1720</v>
      </c>
      <c r="U247" s="2">
        <v>30361679</v>
      </c>
      <c r="V247" s="2"/>
      <c r="W247" s="2"/>
      <c r="X247" s="2"/>
      <c r="Y247" s="2" t="s">
        <v>1721</v>
      </c>
      <c r="Z247" s="2" t="s">
        <v>42</v>
      </c>
      <c r="AA247" s="2"/>
    </row>
    <row r="248" spans="1:27" x14ac:dyDescent="0.2">
      <c r="A248" s="2" t="s">
        <v>1727</v>
      </c>
      <c r="B248" s="24" t="s">
        <v>1728</v>
      </c>
      <c r="C248" s="24"/>
      <c r="D248" s="2" t="s">
        <v>1729</v>
      </c>
      <c r="E248" s="15" t="s">
        <v>1609</v>
      </c>
      <c r="F248" s="8" t="s">
        <v>1730</v>
      </c>
      <c r="G248" s="2">
        <f t="shared" si="13"/>
        <v>68</v>
      </c>
      <c r="H248" s="2" t="s">
        <v>1731</v>
      </c>
      <c r="I248" s="2">
        <f t="shared" si="11"/>
        <v>18</v>
      </c>
      <c r="J248" s="2" t="s">
        <v>1732</v>
      </c>
      <c r="K248" s="2">
        <f t="shared" si="12"/>
        <v>50</v>
      </c>
      <c r="L248" s="2" t="s">
        <v>33</v>
      </c>
      <c r="M248" s="2" t="s">
        <v>34</v>
      </c>
      <c r="N248" s="9" t="s">
        <v>1733</v>
      </c>
      <c r="O248" s="8" t="s">
        <v>1734</v>
      </c>
      <c r="P248" s="8" t="s">
        <v>37</v>
      </c>
      <c r="Q248" s="8" t="s">
        <v>38</v>
      </c>
      <c r="R248" s="8" t="s">
        <v>38</v>
      </c>
      <c r="S248" s="2" t="s">
        <v>1735</v>
      </c>
      <c r="T248" s="8" t="s">
        <v>1736</v>
      </c>
      <c r="U248" s="2">
        <v>33113989</v>
      </c>
      <c r="V248" s="2"/>
      <c r="W248" s="2"/>
      <c r="X248" s="2"/>
      <c r="Y248" s="2" t="s">
        <v>1737</v>
      </c>
      <c r="Z248" s="2" t="s">
        <v>42</v>
      </c>
      <c r="AA248" s="2"/>
    </row>
    <row r="249" spans="1:27" x14ac:dyDescent="0.2">
      <c r="A249" s="2" t="s">
        <v>1738</v>
      </c>
      <c r="B249" s="24" t="s">
        <v>1739</v>
      </c>
      <c r="C249" s="24"/>
      <c r="D249" s="2"/>
      <c r="E249" s="15" t="s">
        <v>1609</v>
      </c>
      <c r="F249" s="2" t="s">
        <v>1740</v>
      </c>
      <c r="G249" s="8">
        <f t="shared" si="13"/>
        <v>91</v>
      </c>
      <c r="H249" s="2" t="s">
        <v>1741</v>
      </c>
      <c r="I249" s="2">
        <f t="shared" si="11"/>
        <v>25</v>
      </c>
      <c r="J249" s="2" t="s">
        <v>1742</v>
      </c>
      <c r="K249" s="2">
        <f t="shared" si="12"/>
        <v>66</v>
      </c>
      <c r="L249" s="2" t="s">
        <v>71</v>
      </c>
      <c r="M249" s="2"/>
      <c r="N249" s="9" t="s">
        <v>511</v>
      </c>
      <c r="O249" s="8" t="s">
        <v>1743</v>
      </c>
      <c r="P249" s="8" t="s">
        <v>37</v>
      </c>
      <c r="Q249" s="8" t="s">
        <v>38</v>
      </c>
      <c r="R249" s="8" t="s">
        <v>38</v>
      </c>
      <c r="S249" s="2" t="s">
        <v>1744</v>
      </c>
      <c r="T249" s="8" t="s">
        <v>1745</v>
      </c>
      <c r="U249" s="2">
        <v>10589723</v>
      </c>
      <c r="V249" s="2" t="s">
        <v>1746</v>
      </c>
      <c r="W249" s="2" t="s">
        <v>1747</v>
      </c>
      <c r="X249" s="2"/>
      <c r="Y249" s="2" t="s">
        <v>1748</v>
      </c>
      <c r="Z249" s="2" t="s">
        <v>42</v>
      </c>
      <c r="AA249" s="2"/>
    </row>
    <row r="250" spans="1:27" x14ac:dyDescent="0.2">
      <c r="A250" s="2" t="s">
        <v>1749</v>
      </c>
      <c r="B250" s="24" t="s">
        <v>1750</v>
      </c>
      <c r="C250" s="24"/>
      <c r="D250" s="2"/>
      <c r="E250" s="15" t="s">
        <v>1609</v>
      </c>
      <c r="F250" s="2" t="s">
        <v>1751</v>
      </c>
      <c r="G250" s="8">
        <f t="shared" si="13"/>
        <v>101</v>
      </c>
      <c r="H250" s="2" t="s">
        <v>1752</v>
      </c>
      <c r="I250" s="2">
        <f t="shared" si="11"/>
        <v>25</v>
      </c>
      <c r="J250" s="2" t="s">
        <v>1753</v>
      </c>
      <c r="K250" s="2">
        <f t="shared" si="12"/>
        <v>76</v>
      </c>
      <c r="L250" s="2" t="s">
        <v>71</v>
      </c>
      <c r="M250" s="2"/>
      <c r="N250" s="9" t="s">
        <v>1754</v>
      </c>
      <c r="O250" s="8"/>
      <c r="P250" s="8" t="s">
        <v>37</v>
      </c>
      <c r="Q250" s="8" t="s">
        <v>38</v>
      </c>
      <c r="R250" s="8" t="s">
        <v>38</v>
      </c>
      <c r="S250" s="11" t="s">
        <v>102</v>
      </c>
      <c r="T250" s="8" t="s">
        <v>1755</v>
      </c>
      <c r="U250" s="2">
        <v>24781647</v>
      </c>
      <c r="V250" s="2"/>
      <c r="W250" s="2" t="s">
        <v>1756</v>
      </c>
      <c r="X250" s="2"/>
      <c r="Y250" s="2" t="s">
        <v>1757</v>
      </c>
      <c r="Z250" s="2" t="s">
        <v>42</v>
      </c>
      <c r="AA250" s="2"/>
    </row>
    <row r="251" spans="1:27" x14ac:dyDescent="0.2">
      <c r="A251" s="2" t="s">
        <v>1758</v>
      </c>
      <c r="B251" s="24" t="s">
        <v>1759</v>
      </c>
      <c r="C251" s="24"/>
      <c r="D251" s="2"/>
      <c r="E251" s="15" t="s">
        <v>1609</v>
      </c>
      <c r="F251" s="2" t="s">
        <v>1760</v>
      </c>
      <c r="G251" s="8">
        <f t="shared" si="13"/>
        <v>75</v>
      </c>
      <c r="H251" s="2" t="s">
        <v>1761</v>
      </c>
      <c r="I251" s="2">
        <f t="shared" si="11"/>
        <v>21</v>
      </c>
      <c r="J251" s="2" t="s">
        <v>1762</v>
      </c>
      <c r="K251" s="2">
        <f t="shared" si="12"/>
        <v>54</v>
      </c>
      <c r="L251" s="2" t="s">
        <v>33</v>
      </c>
      <c r="M251" s="2" t="s">
        <v>34</v>
      </c>
      <c r="N251" s="9" t="s">
        <v>511</v>
      </c>
      <c r="O251" s="8" t="s">
        <v>1763</v>
      </c>
      <c r="P251" s="8" t="s">
        <v>37</v>
      </c>
      <c r="Q251" s="8" t="s">
        <v>38</v>
      </c>
      <c r="R251" s="8" t="s">
        <v>38</v>
      </c>
      <c r="S251" s="2" t="s">
        <v>1764</v>
      </c>
      <c r="T251" s="8" t="s">
        <v>1765</v>
      </c>
      <c r="U251" s="2">
        <v>1904860</v>
      </c>
      <c r="V251" s="2"/>
      <c r="W251" s="2" t="s">
        <v>1766</v>
      </c>
      <c r="X251" s="2"/>
      <c r="Y251" s="2" t="s">
        <v>1767</v>
      </c>
      <c r="Z251" s="2" t="s">
        <v>42</v>
      </c>
      <c r="AA251" s="2"/>
    </row>
    <row r="252" spans="1:27" x14ac:dyDescent="0.2">
      <c r="A252" s="2" t="s">
        <v>1768</v>
      </c>
      <c r="B252" s="24" t="s">
        <v>1769</v>
      </c>
      <c r="C252" s="24"/>
      <c r="D252" s="2"/>
      <c r="E252" s="15" t="s">
        <v>1770</v>
      </c>
      <c r="F252" s="8" t="s">
        <v>1771</v>
      </c>
      <c r="G252" s="8">
        <f t="shared" si="13"/>
        <v>68</v>
      </c>
      <c r="H252" s="2" t="s">
        <v>1772</v>
      </c>
      <c r="I252" s="2">
        <f t="shared" si="11"/>
        <v>21</v>
      </c>
      <c r="J252" s="2" t="s">
        <v>1773</v>
      </c>
      <c r="K252" s="8">
        <f t="shared" si="12"/>
        <v>47</v>
      </c>
      <c r="L252" s="8" t="s">
        <v>33</v>
      </c>
      <c r="M252" s="2" t="s">
        <v>34</v>
      </c>
      <c r="N252" s="7" t="s">
        <v>511</v>
      </c>
      <c r="O252" s="2" t="s">
        <v>1201</v>
      </c>
      <c r="P252" s="8" t="s">
        <v>37</v>
      </c>
      <c r="Q252" s="8" t="s">
        <v>38</v>
      </c>
      <c r="R252" s="8" t="s">
        <v>38</v>
      </c>
      <c r="S252" s="11" t="s">
        <v>102</v>
      </c>
      <c r="T252" s="2" t="s">
        <v>1774</v>
      </c>
      <c r="U252" s="2">
        <v>1610182</v>
      </c>
      <c r="V252" s="2"/>
      <c r="W252" s="2" t="s">
        <v>1775</v>
      </c>
      <c r="X252" s="2"/>
      <c r="Y252" s="2" t="s">
        <v>1776</v>
      </c>
      <c r="Z252" s="2" t="s">
        <v>42</v>
      </c>
      <c r="AA252" s="2"/>
    </row>
    <row r="253" spans="1:27" x14ac:dyDescent="0.2">
      <c r="A253" s="2" t="s">
        <v>1777</v>
      </c>
      <c r="B253" s="24" t="s">
        <v>1778</v>
      </c>
      <c r="C253" s="24"/>
      <c r="D253" s="2"/>
      <c r="E253" s="15" t="s">
        <v>1609</v>
      </c>
      <c r="F253" s="2" t="s">
        <v>1779</v>
      </c>
      <c r="G253" s="8">
        <f t="shared" si="13"/>
        <v>70</v>
      </c>
      <c r="H253" s="2" t="s">
        <v>1780</v>
      </c>
      <c r="I253" s="2">
        <f t="shared" si="11"/>
        <v>25</v>
      </c>
      <c r="J253" s="2" t="s">
        <v>1781</v>
      </c>
      <c r="K253" s="2">
        <f t="shared" si="12"/>
        <v>45</v>
      </c>
      <c r="L253" s="2" t="s">
        <v>33</v>
      </c>
      <c r="M253" s="2" t="s">
        <v>34</v>
      </c>
      <c r="N253" s="9" t="s">
        <v>511</v>
      </c>
      <c r="O253" s="8" t="s">
        <v>1782</v>
      </c>
      <c r="P253" s="8" t="s">
        <v>37</v>
      </c>
      <c r="Q253" s="8" t="s">
        <v>38</v>
      </c>
      <c r="R253" s="8" t="s">
        <v>38</v>
      </c>
      <c r="S253" s="2" t="s">
        <v>1783</v>
      </c>
      <c r="T253" s="8" t="s">
        <v>1784</v>
      </c>
      <c r="U253" s="2">
        <v>26093857</v>
      </c>
      <c r="V253" s="2"/>
      <c r="W253" s="2"/>
      <c r="X253" s="2"/>
      <c r="Y253" s="2" t="s">
        <v>1785</v>
      </c>
      <c r="Z253" s="2" t="s">
        <v>42</v>
      </c>
      <c r="AA253" s="2"/>
    </row>
    <row r="254" spans="1:27" x14ac:dyDescent="0.2">
      <c r="A254" s="2" t="s">
        <v>1786</v>
      </c>
      <c r="B254" s="24" t="s">
        <v>1787</v>
      </c>
      <c r="C254" s="24"/>
      <c r="D254" s="2"/>
      <c r="E254" s="15" t="s">
        <v>1609</v>
      </c>
      <c r="F254" s="2" t="s">
        <v>1788</v>
      </c>
      <c r="G254" s="8">
        <f t="shared" si="13"/>
        <v>53</v>
      </c>
      <c r="H254" s="2" t="s">
        <v>1789</v>
      </c>
      <c r="I254" s="2">
        <f t="shared" si="11"/>
        <v>21</v>
      </c>
      <c r="J254" s="2" t="s">
        <v>1790</v>
      </c>
      <c r="K254" s="2">
        <f t="shared" si="12"/>
        <v>32</v>
      </c>
      <c r="L254" s="2" t="s">
        <v>33</v>
      </c>
      <c r="M254" s="2" t="s">
        <v>34</v>
      </c>
      <c r="N254" s="7" t="s">
        <v>1791</v>
      </c>
      <c r="O254" s="8" t="s">
        <v>451</v>
      </c>
      <c r="P254" s="8" t="s">
        <v>37</v>
      </c>
      <c r="Q254" s="8" t="s">
        <v>38</v>
      </c>
      <c r="R254" s="8" t="s">
        <v>38</v>
      </c>
      <c r="S254" s="11" t="s">
        <v>102</v>
      </c>
      <c r="T254" s="8" t="s">
        <v>453</v>
      </c>
      <c r="U254" s="2">
        <v>8987453</v>
      </c>
      <c r="V254" s="2"/>
      <c r="W254" s="2"/>
      <c r="X254" s="2"/>
      <c r="Y254" s="2" t="s">
        <v>454</v>
      </c>
      <c r="Z254" s="2" t="s">
        <v>42</v>
      </c>
      <c r="AA254" s="2"/>
    </row>
    <row r="255" spans="1:27" x14ac:dyDescent="0.2">
      <c r="A255" s="2" t="s">
        <v>1792</v>
      </c>
      <c r="B255" s="24" t="s">
        <v>1793</v>
      </c>
      <c r="C255" s="24"/>
      <c r="D255" s="2"/>
      <c r="E255" s="15" t="s">
        <v>1609</v>
      </c>
      <c r="F255" s="2" t="s">
        <v>1794</v>
      </c>
      <c r="G255" s="8">
        <f t="shared" si="13"/>
        <v>71</v>
      </c>
      <c r="H255" s="2" t="s">
        <v>1795</v>
      </c>
      <c r="I255" s="2">
        <f t="shared" si="11"/>
        <v>18</v>
      </c>
      <c r="J255" s="2" t="s">
        <v>1796</v>
      </c>
      <c r="K255" s="2">
        <f t="shared" si="12"/>
        <v>53</v>
      </c>
      <c r="L255" s="2" t="s">
        <v>33</v>
      </c>
      <c r="M255" s="2" t="s">
        <v>34</v>
      </c>
      <c r="N255" s="9" t="s">
        <v>83</v>
      </c>
      <c r="O255" s="8" t="s">
        <v>1797</v>
      </c>
      <c r="P255" s="8" t="s">
        <v>37</v>
      </c>
      <c r="Q255" s="8" t="s">
        <v>38</v>
      </c>
      <c r="R255" s="8" t="s">
        <v>38</v>
      </c>
      <c r="S255" s="2" t="s">
        <v>1798</v>
      </c>
      <c r="T255" s="8" t="s">
        <v>1799</v>
      </c>
      <c r="U255" s="2">
        <v>29729340</v>
      </c>
      <c r="V255" s="2"/>
      <c r="W255" s="2"/>
      <c r="X255" s="2"/>
      <c r="Y255" s="2" t="s">
        <v>1800</v>
      </c>
      <c r="Z255" s="2" t="s">
        <v>42</v>
      </c>
      <c r="AA255" s="7"/>
    </row>
    <row r="256" spans="1:27" x14ac:dyDescent="0.2">
      <c r="A256" s="2" t="s">
        <v>1801</v>
      </c>
      <c r="B256" s="24" t="s">
        <v>1802</v>
      </c>
      <c r="C256" s="24"/>
      <c r="D256" s="2"/>
      <c r="E256" s="15" t="s">
        <v>1609</v>
      </c>
      <c r="F256" s="2" t="s">
        <v>1803</v>
      </c>
      <c r="G256" s="8">
        <f t="shared" si="13"/>
        <v>72</v>
      </c>
      <c r="H256" s="2" t="s">
        <v>1804</v>
      </c>
      <c r="I256" s="2">
        <f t="shared" si="11"/>
        <v>18</v>
      </c>
      <c r="J256" s="2" t="s">
        <v>1805</v>
      </c>
      <c r="K256" s="2">
        <f t="shared" si="12"/>
        <v>54</v>
      </c>
      <c r="L256" s="2" t="s">
        <v>33</v>
      </c>
      <c r="M256" s="2" t="s">
        <v>34</v>
      </c>
      <c r="N256" s="9" t="s">
        <v>1806</v>
      </c>
      <c r="O256" s="8" t="s">
        <v>1807</v>
      </c>
      <c r="P256" s="8" t="s">
        <v>37</v>
      </c>
      <c r="Q256" s="8" t="s">
        <v>38</v>
      </c>
      <c r="R256" s="8" t="s">
        <v>38</v>
      </c>
      <c r="S256" s="2" t="s">
        <v>1808</v>
      </c>
      <c r="T256" s="8" t="s">
        <v>1809</v>
      </c>
      <c r="U256" s="2">
        <v>18397254</v>
      </c>
      <c r="V256" s="2"/>
      <c r="W256" s="2"/>
      <c r="X256" s="2"/>
      <c r="Y256" s="2" t="s">
        <v>1810</v>
      </c>
      <c r="Z256" s="2" t="s">
        <v>42</v>
      </c>
      <c r="AA256" s="7"/>
    </row>
    <row r="257" spans="1:27" x14ac:dyDescent="0.2">
      <c r="A257" s="2" t="s">
        <v>1811</v>
      </c>
      <c r="B257" s="24" t="s">
        <v>1812</v>
      </c>
      <c r="C257" s="24"/>
      <c r="D257" s="2"/>
      <c r="E257" s="15" t="s">
        <v>1609</v>
      </c>
      <c r="F257" s="2" t="s">
        <v>1813</v>
      </c>
      <c r="G257" s="8">
        <f t="shared" si="13"/>
        <v>75</v>
      </c>
      <c r="H257" s="2" t="s">
        <v>1814</v>
      </c>
      <c r="I257" s="2">
        <f t="shared" si="11"/>
        <v>29</v>
      </c>
      <c r="J257" s="2" t="s">
        <v>1815</v>
      </c>
      <c r="K257" s="2">
        <f t="shared" si="12"/>
        <v>46</v>
      </c>
      <c r="L257" s="2" t="s">
        <v>71</v>
      </c>
      <c r="M257" s="2"/>
      <c r="N257" s="9" t="s">
        <v>189</v>
      </c>
      <c r="O257" s="8" t="s">
        <v>1816</v>
      </c>
      <c r="P257" s="8" t="s">
        <v>37</v>
      </c>
      <c r="Q257" s="8" t="s">
        <v>38</v>
      </c>
      <c r="R257" s="8" t="s">
        <v>38</v>
      </c>
      <c r="S257" s="2" t="s">
        <v>1817</v>
      </c>
      <c r="T257" s="8" t="s">
        <v>1818</v>
      </c>
      <c r="U257" s="2">
        <v>7768812</v>
      </c>
      <c r="V257" s="2"/>
      <c r="W257" s="2"/>
      <c r="X257" s="2"/>
      <c r="Y257" s="2" t="s">
        <v>1819</v>
      </c>
      <c r="Z257" s="2" t="s">
        <v>42</v>
      </c>
      <c r="AA257" s="2"/>
    </row>
    <row r="258" spans="1:27" x14ac:dyDescent="0.2">
      <c r="A258" s="2" t="s">
        <v>1820</v>
      </c>
      <c r="B258" s="24" t="s">
        <v>1821</v>
      </c>
      <c r="C258" s="24"/>
      <c r="D258" s="2" t="s">
        <v>1822</v>
      </c>
      <c r="E258" s="15" t="s">
        <v>1609</v>
      </c>
      <c r="F258" s="2" t="s">
        <v>1823</v>
      </c>
      <c r="G258" s="8">
        <f t="shared" si="13"/>
        <v>71</v>
      </c>
      <c r="H258" s="2" t="s">
        <v>1824</v>
      </c>
      <c r="I258" s="2">
        <f t="shared" si="11"/>
        <v>18</v>
      </c>
      <c r="J258" s="2" t="s">
        <v>1825</v>
      </c>
      <c r="K258" s="2">
        <f t="shared" si="12"/>
        <v>53</v>
      </c>
      <c r="L258" s="2" t="s">
        <v>33</v>
      </c>
      <c r="M258" s="2" t="s">
        <v>34</v>
      </c>
      <c r="N258" s="9" t="s">
        <v>139</v>
      </c>
      <c r="O258" s="8" t="s">
        <v>1826</v>
      </c>
      <c r="P258" s="8" t="s">
        <v>37</v>
      </c>
      <c r="Q258" s="8" t="s">
        <v>38</v>
      </c>
      <c r="R258" s="8" t="s">
        <v>38</v>
      </c>
      <c r="S258" s="2" t="s">
        <v>1827</v>
      </c>
      <c r="T258" s="8" t="s">
        <v>1828</v>
      </c>
      <c r="U258" s="2">
        <v>8012574</v>
      </c>
      <c r="V258" s="2"/>
      <c r="W258" s="2" t="s">
        <v>1829</v>
      </c>
      <c r="X258" s="2"/>
      <c r="Y258" s="2" t="s">
        <v>1830</v>
      </c>
      <c r="Z258" s="2" t="s">
        <v>42</v>
      </c>
      <c r="AA258" s="2"/>
    </row>
    <row r="259" spans="1:27" x14ac:dyDescent="0.2">
      <c r="A259" s="2" t="s">
        <v>1831</v>
      </c>
      <c r="B259" s="24" t="s">
        <v>1832</v>
      </c>
      <c r="C259" s="24"/>
      <c r="D259" s="2"/>
      <c r="E259" s="15" t="s">
        <v>1609</v>
      </c>
      <c r="F259" s="2" t="s">
        <v>1833</v>
      </c>
      <c r="G259" s="8">
        <f t="shared" si="13"/>
        <v>75</v>
      </c>
      <c r="H259" s="2" t="s">
        <v>815</v>
      </c>
      <c r="I259" s="2">
        <f t="shared" si="11"/>
        <v>18</v>
      </c>
      <c r="J259" s="2" t="s">
        <v>1834</v>
      </c>
      <c r="K259" s="2">
        <f t="shared" si="12"/>
        <v>57</v>
      </c>
      <c r="L259" s="2" t="s">
        <v>33</v>
      </c>
      <c r="M259" s="2" t="s">
        <v>34</v>
      </c>
      <c r="N259" s="9" t="s">
        <v>1835</v>
      </c>
      <c r="O259" s="8" t="s">
        <v>1836</v>
      </c>
      <c r="P259" s="8" t="s">
        <v>37</v>
      </c>
      <c r="Q259" s="8" t="s">
        <v>38</v>
      </c>
      <c r="R259" s="8" t="s">
        <v>38</v>
      </c>
      <c r="S259" s="11" t="s">
        <v>102</v>
      </c>
      <c r="T259" s="8" t="s">
        <v>1837</v>
      </c>
      <c r="U259" s="2">
        <v>26969428</v>
      </c>
      <c r="V259" s="2"/>
      <c r="W259" s="2"/>
      <c r="X259" s="2"/>
      <c r="Y259" s="2" t="s">
        <v>1838</v>
      </c>
      <c r="Z259" s="2" t="s">
        <v>42</v>
      </c>
      <c r="AA259" s="2"/>
    </row>
    <row r="260" spans="1:27" x14ac:dyDescent="0.2">
      <c r="A260" s="2" t="s">
        <v>1839</v>
      </c>
      <c r="B260" s="24" t="s">
        <v>1840</v>
      </c>
      <c r="C260" s="24"/>
      <c r="D260" s="2"/>
      <c r="E260" s="15" t="s">
        <v>1609</v>
      </c>
      <c r="F260" s="2" t="s">
        <v>1841</v>
      </c>
      <c r="G260" s="8">
        <f t="shared" si="13"/>
        <v>76</v>
      </c>
      <c r="H260" s="2" t="s">
        <v>1842</v>
      </c>
      <c r="I260" s="2">
        <f t="shared" si="11"/>
        <v>23</v>
      </c>
      <c r="J260" s="2" t="s">
        <v>1843</v>
      </c>
      <c r="K260" s="2">
        <f t="shared" si="12"/>
        <v>53</v>
      </c>
      <c r="L260" s="2" t="s">
        <v>33</v>
      </c>
      <c r="M260" s="2" t="s">
        <v>34</v>
      </c>
      <c r="N260" s="9" t="s">
        <v>1844</v>
      </c>
      <c r="O260" s="8" t="s">
        <v>841</v>
      </c>
      <c r="P260" s="8" t="s">
        <v>37</v>
      </c>
      <c r="Q260" s="8" t="s">
        <v>38</v>
      </c>
      <c r="R260" s="8" t="s">
        <v>38</v>
      </c>
      <c r="S260" s="11" t="s">
        <v>102</v>
      </c>
      <c r="T260" s="2" t="s">
        <v>1845</v>
      </c>
      <c r="U260" s="2">
        <v>16269816</v>
      </c>
      <c r="V260" s="2"/>
      <c r="W260" s="2"/>
      <c r="X260" s="2"/>
      <c r="Y260" s="2" t="s">
        <v>1846</v>
      </c>
      <c r="Z260" s="2" t="s">
        <v>42</v>
      </c>
      <c r="AA260" s="2"/>
    </row>
    <row r="261" spans="1:27" x14ac:dyDescent="0.2">
      <c r="A261" s="2" t="s">
        <v>1847</v>
      </c>
      <c r="B261" s="24" t="s">
        <v>1848</v>
      </c>
      <c r="C261" s="24"/>
      <c r="D261" s="2"/>
      <c r="E261" s="15" t="s">
        <v>1609</v>
      </c>
      <c r="F261" s="17" t="s">
        <v>1849</v>
      </c>
      <c r="G261" s="8">
        <f t="shared" si="13"/>
        <v>53</v>
      </c>
      <c r="H261" s="2" t="s">
        <v>1850</v>
      </c>
      <c r="I261" s="2">
        <f t="shared" si="11"/>
        <v>31</v>
      </c>
      <c r="J261" s="2" t="s">
        <v>1851</v>
      </c>
      <c r="K261" s="2">
        <f t="shared" si="12"/>
        <v>22</v>
      </c>
      <c r="L261" s="2" t="s">
        <v>33</v>
      </c>
      <c r="M261" s="2" t="s">
        <v>34</v>
      </c>
      <c r="N261" s="9" t="s">
        <v>1852</v>
      </c>
      <c r="O261" s="8" t="s">
        <v>1853</v>
      </c>
      <c r="P261" s="8" t="s">
        <v>37</v>
      </c>
      <c r="Q261" s="8" t="s">
        <v>38</v>
      </c>
      <c r="R261" s="8" t="s">
        <v>38</v>
      </c>
      <c r="S261" s="11" t="s">
        <v>102</v>
      </c>
      <c r="T261" s="2" t="s">
        <v>1854</v>
      </c>
      <c r="U261" s="2">
        <v>24169573</v>
      </c>
      <c r="V261" s="2"/>
      <c r="W261" s="2"/>
      <c r="X261" s="2"/>
      <c r="Y261" s="2" t="s">
        <v>1855</v>
      </c>
      <c r="Z261" s="2" t="s">
        <v>42</v>
      </c>
      <c r="AA261" s="2"/>
    </row>
    <row r="262" spans="1:27" x14ac:dyDescent="0.2">
      <c r="A262" s="2" t="s">
        <v>1856</v>
      </c>
      <c r="B262" s="24" t="s">
        <v>1857</v>
      </c>
      <c r="C262" s="24"/>
      <c r="D262" s="2"/>
      <c r="E262" s="15" t="s">
        <v>1609</v>
      </c>
      <c r="F262" s="17" t="s">
        <v>1858</v>
      </c>
      <c r="G262" s="8">
        <f t="shared" si="13"/>
        <v>48</v>
      </c>
      <c r="H262" s="2" t="s">
        <v>1859</v>
      </c>
      <c r="I262" s="2">
        <f t="shared" si="11"/>
        <v>22</v>
      </c>
      <c r="J262" s="2" t="s">
        <v>1860</v>
      </c>
      <c r="K262" s="2">
        <f t="shared" si="12"/>
        <v>26</v>
      </c>
      <c r="L262" s="2" t="s">
        <v>33</v>
      </c>
      <c r="M262" s="2" t="s">
        <v>34</v>
      </c>
      <c r="N262" s="9" t="s">
        <v>1861</v>
      </c>
      <c r="O262" s="8" t="s">
        <v>947</v>
      </c>
      <c r="P262" s="8" t="s">
        <v>37</v>
      </c>
      <c r="Q262" s="8" t="s">
        <v>38</v>
      </c>
      <c r="R262" s="8" t="s">
        <v>38</v>
      </c>
      <c r="S262" s="2" t="s">
        <v>1862</v>
      </c>
      <c r="T262" s="2" t="s">
        <v>1863</v>
      </c>
      <c r="U262" s="2">
        <v>8117074</v>
      </c>
      <c r="V262" s="2"/>
      <c r="W262" s="2"/>
      <c r="X262" s="2"/>
      <c r="Y262" s="2" t="s">
        <v>1864</v>
      </c>
      <c r="Z262" s="2" t="s">
        <v>42</v>
      </c>
      <c r="AA262" s="2"/>
    </row>
    <row r="263" spans="1:27" x14ac:dyDescent="0.2">
      <c r="A263" s="2" t="s">
        <v>1865</v>
      </c>
      <c r="B263" s="24" t="s">
        <v>1866</v>
      </c>
      <c r="C263" s="24"/>
      <c r="D263" s="2"/>
      <c r="E263" s="15" t="s">
        <v>1609</v>
      </c>
      <c r="F263" s="17" t="s">
        <v>1867</v>
      </c>
      <c r="G263" s="8">
        <f t="shared" si="13"/>
        <v>63</v>
      </c>
      <c r="H263" s="2" t="s">
        <v>1868</v>
      </c>
      <c r="I263" s="2">
        <f t="shared" si="11"/>
        <v>29</v>
      </c>
      <c r="J263" s="2" t="s">
        <v>1869</v>
      </c>
      <c r="K263" s="2">
        <f t="shared" si="12"/>
        <v>34</v>
      </c>
      <c r="L263" s="2" t="s">
        <v>33</v>
      </c>
      <c r="M263" s="2" t="s">
        <v>34</v>
      </c>
      <c r="N263" s="9" t="s">
        <v>1870</v>
      </c>
      <c r="O263" s="8">
        <v>750</v>
      </c>
      <c r="P263" s="8" t="s">
        <v>37</v>
      </c>
      <c r="Q263" s="8" t="s">
        <v>38</v>
      </c>
      <c r="R263" s="8" t="s">
        <v>38</v>
      </c>
      <c r="S263" s="2" t="s">
        <v>1871</v>
      </c>
      <c r="T263" s="2" t="s">
        <v>1872</v>
      </c>
      <c r="U263" s="2">
        <v>8869500</v>
      </c>
      <c r="V263" s="2"/>
      <c r="W263" s="2"/>
      <c r="X263" s="2"/>
      <c r="Y263" s="2" t="s">
        <v>1873</v>
      </c>
      <c r="Z263" s="2" t="s">
        <v>42</v>
      </c>
      <c r="AA263" s="2"/>
    </row>
    <row r="264" spans="1:27" x14ac:dyDescent="0.2">
      <c r="A264" s="2" t="s">
        <v>1874</v>
      </c>
      <c r="B264" s="24" t="s">
        <v>1875</v>
      </c>
      <c r="C264" s="24"/>
      <c r="D264" s="2"/>
      <c r="E264" s="15" t="s">
        <v>1609</v>
      </c>
      <c r="F264" s="17" t="s">
        <v>1876</v>
      </c>
      <c r="G264" s="8">
        <f t="shared" si="13"/>
        <v>46</v>
      </c>
      <c r="H264" s="2" t="s">
        <v>1877</v>
      </c>
      <c r="I264" s="2">
        <f t="shared" si="11"/>
        <v>20</v>
      </c>
      <c r="J264" s="2" t="s">
        <v>1878</v>
      </c>
      <c r="K264" s="2">
        <f t="shared" si="12"/>
        <v>26</v>
      </c>
      <c r="L264" s="2" t="s">
        <v>33</v>
      </c>
      <c r="M264" s="2" t="s">
        <v>34</v>
      </c>
      <c r="N264" s="7" t="s">
        <v>1879</v>
      </c>
      <c r="O264" s="8" t="s">
        <v>1880</v>
      </c>
      <c r="P264" s="8" t="s">
        <v>37</v>
      </c>
      <c r="Q264" s="8" t="s">
        <v>38</v>
      </c>
      <c r="R264" s="8" t="s">
        <v>38</v>
      </c>
      <c r="S264" s="2" t="s">
        <v>1881</v>
      </c>
      <c r="T264" s="2" t="s">
        <v>1882</v>
      </c>
      <c r="U264" s="2">
        <v>8554765</v>
      </c>
      <c r="V264" s="2"/>
      <c r="W264" s="2"/>
      <c r="X264" s="2"/>
      <c r="Y264" s="2" t="s">
        <v>1883</v>
      </c>
      <c r="Z264" s="2" t="s">
        <v>42</v>
      </c>
      <c r="AA264" s="2"/>
    </row>
    <row r="265" spans="1:27" x14ac:dyDescent="0.2">
      <c r="A265" s="2" t="s">
        <v>1884</v>
      </c>
      <c r="B265" s="24" t="s">
        <v>1885</v>
      </c>
      <c r="C265" s="24"/>
      <c r="D265" s="2"/>
      <c r="E265" s="15" t="s">
        <v>1609</v>
      </c>
      <c r="F265" s="18" t="s">
        <v>1886</v>
      </c>
      <c r="G265" s="8">
        <f t="shared" si="13"/>
        <v>81</v>
      </c>
      <c r="H265" s="2" t="s">
        <v>1887</v>
      </c>
      <c r="I265" s="2">
        <f t="shared" si="11"/>
        <v>23</v>
      </c>
      <c r="J265" s="2" t="s">
        <v>1888</v>
      </c>
      <c r="K265" s="2">
        <f t="shared" si="12"/>
        <v>58</v>
      </c>
      <c r="L265" s="2" t="s">
        <v>33</v>
      </c>
      <c r="M265" s="2" t="s">
        <v>34</v>
      </c>
      <c r="N265" s="7" t="s">
        <v>110</v>
      </c>
      <c r="O265" s="8"/>
      <c r="P265" s="8" t="s">
        <v>37</v>
      </c>
      <c r="Q265" s="8" t="s">
        <v>38</v>
      </c>
      <c r="R265" s="8" t="s">
        <v>38</v>
      </c>
      <c r="S265" s="2" t="s">
        <v>1889</v>
      </c>
      <c r="T265" s="2" t="s">
        <v>1890</v>
      </c>
      <c r="U265" s="2">
        <v>34643411</v>
      </c>
      <c r="V265" s="2"/>
      <c r="W265" s="2"/>
      <c r="X265" s="2"/>
      <c r="Y265" s="2" t="s">
        <v>1891</v>
      </c>
      <c r="Z265" s="2" t="s">
        <v>42</v>
      </c>
      <c r="AA265" s="2"/>
    </row>
    <row r="266" spans="1:27" x14ac:dyDescent="0.2">
      <c r="A266" s="2" t="s">
        <v>1892</v>
      </c>
      <c r="B266" s="24" t="s">
        <v>1729</v>
      </c>
      <c r="C266" s="24"/>
      <c r="D266" s="2" t="s">
        <v>1728</v>
      </c>
      <c r="E266" s="15" t="s">
        <v>1609</v>
      </c>
      <c r="F266" s="17" t="s">
        <v>1893</v>
      </c>
      <c r="G266" s="8">
        <f t="shared" si="13"/>
        <v>68</v>
      </c>
      <c r="H266" s="2" t="s">
        <v>1731</v>
      </c>
      <c r="I266" s="2">
        <f t="shared" si="11"/>
        <v>18</v>
      </c>
      <c r="J266" s="2" t="s">
        <v>1732</v>
      </c>
      <c r="K266" s="2">
        <f t="shared" si="12"/>
        <v>50</v>
      </c>
      <c r="L266" s="2" t="s">
        <v>33</v>
      </c>
      <c r="M266" s="2" t="s">
        <v>34</v>
      </c>
      <c r="N266" s="9" t="s">
        <v>1733</v>
      </c>
      <c r="O266" s="8" t="s">
        <v>1894</v>
      </c>
      <c r="P266" s="8" t="s">
        <v>37</v>
      </c>
      <c r="Q266" s="8" t="s">
        <v>38</v>
      </c>
      <c r="R266" s="8" t="s">
        <v>38</v>
      </c>
      <c r="S266" s="11" t="s">
        <v>102</v>
      </c>
      <c r="T266" s="2" t="s">
        <v>1895</v>
      </c>
      <c r="U266" s="2">
        <v>17657532</v>
      </c>
      <c r="V266" s="2"/>
      <c r="W266" s="2"/>
      <c r="X266" s="2"/>
      <c r="Y266" s="2" t="s">
        <v>1896</v>
      </c>
      <c r="Z266" s="2" t="s">
        <v>42</v>
      </c>
      <c r="AA266" s="2"/>
    </row>
    <row r="267" spans="1:27" x14ac:dyDescent="0.2">
      <c r="A267" s="2" t="s">
        <v>1897</v>
      </c>
      <c r="B267" s="24" t="s">
        <v>1898</v>
      </c>
      <c r="C267" s="24"/>
      <c r="D267" s="2"/>
      <c r="E267" s="15" t="s">
        <v>1609</v>
      </c>
      <c r="F267" s="18" t="s">
        <v>1899</v>
      </c>
      <c r="G267" s="8">
        <f t="shared" si="13"/>
        <v>73</v>
      </c>
      <c r="H267" s="2" t="s">
        <v>1900</v>
      </c>
      <c r="I267" s="2">
        <f t="shared" si="11"/>
        <v>18</v>
      </c>
      <c r="J267" s="2" t="s">
        <v>1901</v>
      </c>
      <c r="K267" s="2">
        <f t="shared" si="12"/>
        <v>55</v>
      </c>
      <c r="L267" s="2" t="s">
        <v>33</v>
      </c>
      <c r="M267" s="2" t="s">
        <v>34</v>
      </c>
      <c r="N267" s="9" t="s">
        <v>1902</v>
      </c>
      <c r="O267" s="8" t="s">
        <v>1903</v>
      </c>
      <c r="P267" s="8" t="s">
        <v>37</v>
      </c>
      <c r="Q267" s="8" t="s">
        <v>38</v>
      </c>
      <c r="R267" s="8" t="s">
        <v>38</v>
      </c>
      <c r="S267" s="2" t="s">
        <v>1904</v>
      </c>
      <c r="T267" s="2" t="s">
        <v>1905</v>
      </c>
      <c r="U267" s="2">
        <v>16451187</v>
      </c>
      <c r="V267" s="2"/>
      <c r="W267" s="2"/>
      <c r="X267" s="2"/>
      <c r="Y267" s="2" t="s">
        <v>1906</v>
      </c>
      <c r="Z267" s="2" t="s">
        <v>42</v>
      </c>
      <c r="AA267" s="2"/>
    </row>
    <row r="268" spans="1:27" x14ac:dyDescent="0.2">
      <c r="A268" s="2" t="s">
        <v>1907</v>
      </c>
      <c r="B268" s="24" t="s">
        <v>697</v>
      </c>
      <c r="C268" s="24"/>
      <c r="D268" s="2" t="s">
        <v>1908</v>
      </c>
      <c r="E268" s="15" t="s">
        <v>1609</v>
      </c>
      <c r="F268" s="8" t="s">
        <v>1909</v>
      </c>
      <c r="G268" s="8">
        <f t="shared" si="13"/>
        <v>65</v>
      </c>
      <c r="H268" s="2" t="s">
        <v>699</v>
      </c>
      <c r="I268" s="2">
        <f>LEN(H268)</f>
        <v>15</v>
      </c>
      <c r="J268" s="2" t="s">
        <v>700</v>
      </c>
      <c r="K268" s="2">
        <f>LEN(J268)</f>
        <v>50</v>
      </c>
      <c r="L268" s="2" t="s">
        <v>33</v>
      </c>
      <c r="M268" s="2" t="s">
        <v>34</v>
      </c>
      <c r="N268" s="9" t="s">
        <v>1910</v>
      </c>
      <c r="O268" s="8" t="s">
        <v>1911</v>
      </c>
      <c r="P268" s="8" t="s">
        <v>37</v>
      </c>
      <c r="Q268" s="8" t="s">
        <v>38</v>
      </c>
      <c r="R268" s="8" t="s">
        <v>38</v>
      </c>
      <c r="S268" s="11" t="s">
        <v>102</v>
      </c>
      <c r="T268" s="2" t="s">
        <v>1912</v>
      </c>
      <c r="U268" s="2">
        <v>14672834</v>
      </c>
      <c r="V268" s="2"/>
      <c r="W268" s="2" t="s">
        <v>1913</v>
      </c>
      <c r="X268" s="2"/>
      <c r="Y268" s="2" t="s">
        <v>1914</v>
      </c>
      <c r="Z268" s="2" t="s">
        <v>42</v>
      </c>
      <c r="AA268" s="2"/>
    </row>
    <row r="269" spans="1:27" x14ac:dyDescent="0.2">
      <c r="A269" s="2" t="s">
        <v>1915</v>
      </c>
      <c r="B269" s="24" t="s">
        <v>1916</v>
      </c>
      <c r="C269" s="24"/>
      <c r="D269" s="2"/>
      <c r="E269" s="15" t="s">
        <v>1609</v>
      </c>
      <c r="F269" s="8" t="s">
        <v>1917</v>
      </c>
      <c r="G269" s="8">
        <f t="shared" si="13"/>
        <v>52</v>
      </c>
      <c r="H269" s="2" t="s">
        <v>1918</v>
      </c>
      <c r="I269" s="2">
        <f>LEN(H269)</f>
        <v>18</v>
      </c>
      <c r="J269" s="2" t="s">
        <v>1919</v>
      </c>
      <c r="K269" s="2">
        <f>LEN(J269)</f>
        <v>34</v>
      </c>
      <c r="L269" s="2" t="s">
        <v>33</v>
      </c>
      <c r="M269" s="2" t="s">
        <v>34</v>
      </c>
      <c r="N269" s="9" t="s">
        <v>1920</v>
      </c>
      <c r="O269" s="8" t="s">
        <v>1921</v>
      </c>
      <c r="P269" s="8" t="s">
        <v>37</v>
      </c>
      <c r="Q269" s="8" t="s">
        <v>38</v>
      </c>
      <c r="R269" s="8" t="s">
        <v>38</v>
      </c>
      <c r="S269" s="11" t="s">
        <v>102</v>
      </c>
      <c r="T269" s="11" t="s">
        <v>102</v>
      </c>
      <c r="U269" s="2">
        <v>18051760</v>
      </c>
      <c r="V269" s="2"/>
      <c r="W269" s="2"/>
      <c r="X269" s="2"/>
      <c r="Y269" s="2" t="s">
        <v>1922</v>
      </c>
      <c r="Z269" s="2" t="s">
        <v>42</v>
      </c>
      <c r="AA269" s="2"/>
    </row>
    <row r="270" spans="1:27" x14ac:dyDescent="0.2">
      <c r="A270" s="2" t="s">
        <v>1923</v>
      </c>
      <c r="B270" s="24" t="s">
        <v>1924</v>
      </c>
      <c r="C270" s="24"/>
      <c r="D270" s="2"/>
      <c r="E270" s="15" t="s">
        <v>1770</v>
      </c>
      <c r="F270" s="8" t="s">
        <v>1925</v>
      </c>
      <c r="G270" s="8">
        <f t="shared" si="13"/>
        <v>54</v>
      </c>
      <c r="H270" s="8"/>
      <c r="I270" s="2">
        <f t="shared" si="11"/>
        <v>0</v>
      </c>
      <c r="J270" s="2" t="s">
        <v>1925</v>
      </c>
      <c r="K270" s="2">
        <f t="shared" si="12"/>
        <v>54</v>
      </c>
      <c r="L270" s="2" t="s">
        <v>450</v>
      </c>
      <c r="M270" s="2"/>
      <c r="N270" s="9" t="s">
        <v>1902</v>
      </c>
      <c r="O270" s="8" t="s">
        <v>1903</v>
      </c>
      <c r="P270" s="8" t="s">
        <v>37</v>
      </c>
      <c r="Q270" s="8" t="s">
        <v>634</v>
      </c>
      <c r="R270" s="8" t="s">
        <v>38</v>
      </c>
      <c r="S270" s="11" t="s">
        <v>102</v>
      </c>
      <c r="T270" s="2" t="s">
        <v>1926</v>
      </c>
      <c r="U270" s="2">
        <v>10971770</v>
      </c>
      <c r="V270" s="2"/>
      <c r="W270" s="2"/>
      <c r="X270" s="2"/>
      <c r="Y270" s="2" t="s">
        <v>1927</v>
      </c>
      <c r="Z270" s="2" t="s">
        <v>42</v>
      </c>
      <c r="AA270" s="2" t="s">
        <v>1928</v>
      </c>
    </row>
    <row r="271" spans="1:27" x14ac:dyDescent="0.2">
      <c r="A271" s="2" t="s">
        <v>1929</v>
      </c>
      <c r="B271" s="24" t="s">
        <v>1930</v>
      </c>
      <c r="C271" s="24"/>
      <c r="D271" s="2"/>
      <c r="E271" s="6" t="s">
        <v>1770</v>
      </c>
      <c r="F271" s="8" t="s">
        <v>1931</v>
      </c>
      <c r="G271" s="8">
        <f t="shared" si="13"/>
        <v>44</v>
      </c>
      <c r="H271" s="2" t="s">
        <v>1932</v>
      </c>
      <c r="I271" s="2">
        <f t="shared" si="11"/>
        <v>22</v>
      </c>
      <c r="J271" s="2" t="s">
        <v>1933</v>
      </c>
      <c r="K271" s="2">
        <f t="shared" si="12"/>
        <v>22</v>
      </c>
      <c r="L271" s="2" t="s">
        <v>33</v>
      </c>
      <c r="M271" s="2" t="s">
        <v>34</v>
      </c>
      <c r="N271" s="9" t="s">
        <v>328</v>
      </c>
      <c r="O271" s="8" t="s">
        <v>1934</v>
      </c>
      <c r="P271" s="8" t="s">
        <v>37</v>
      </c>
      <c r="Q271" s="8" t="s">
        <v>38</v>
      </c>
      <c r="R271" s="8" t="s">
        <v>38</v>
      </c>
      <c r="S271" s="2" t="s">
        <v>1935</v>
      </c>
      <c r="T271" s="2" t="s">
        <v>1936</v>
      </c>
      <c r="U271" s="2">
        <v>25147943</v>
      </c>
      <c r="V271" s="2"/>
      <c r="W271" s="2"/>
      <c r="X271" s="2"/>
      <c r="Y271" s="2" t="s">
        <v>1937</v>
      </c>
      <c r="Z271" s="2" t="s">
        <v>42</v>
      </c>
      <c r="AA271" s="2"/>
    </row>
    <row r="272" spans="1:27" x14ac:dyDescent="0.2">
      <c r="A272" s="2" t="s">
        <v>1938</v>
      </c>
      <c r="B272" s="24" t="s">
        <v>1939</v>
      </c>
      <c r="C272" s="24"/>
      <c r="D272" s="2"/>
      <c r="E272" s="6" t="s">
        <v>1770</v>
      </c>
      <c r="F272" s="8" t="s">
        <v>1940</v>
      </c>
      <c r="G272" s="8">
        <f t="shared" si="13"/>
        <v>57</v>
      </c>
      <c r="H272" s="2" t="s">
        <v>1941</v>
      </c>
      <c r="I272" s="2">
        <f t="shared" si="11"/>
        <v>23</v>
      </c>
      <c r="J272" s="2" t="s">
        <v>1942</v>
      </c>
      <c r="K272" s="2">
        <f t="shared" si="12"/>
        <v>34</v>
      </c>
      <c r="L272" s="2" t="s">
        <v>33</v>
      </c>
      <c r="M272" s="2" t="s">
        <v>34</v>
      </c>
      <c r="N272" s="9" t="s">
        <v>334</v>
      </c>
      <c r="O272" s="8" t="s">
        <v>361</v>
      </c>
      <c r="P272" s="8" t="s">
        <v>37</v>
      </c>
      <c r="Q272" s="8" t="s">
        <v>38</v>
      </c>
      <c r="R272" s="8" t="s">
        <v>38</v>
      </c>
      <c r="S272" s="2" t="s">
        <v>1943</v>
      </c>
      <c r="T272" s="2" t="s">
        <v>363</v>
      </c>
      <c r="U272" s="2">
        <v>23594273</v>
      </c>
      <c r="V272" s="2"/>
      <c r="W272" s="2"/>
      <c r="X272" s="2"/>
      <c r="Y272" s="2" t="s">
        <v>364</v>
      </c>
      <c r="Z272" s="2" t="s">
        <v>42</v>
      </c>
      <c r="AA272" s="2"/>
    </row>
    <row r="273" spans="1:27" x14ac:dyDescent="0.2">
      <c r="A273" s="2" t="s">
        <v>1944</v>
      </c>
      <c r="B273" s="24" t="s">
        <v>1945</v>
      </c>
      <c r="C273" s="24"/>
      <c r="D273" s="2"/>
      <c r="E273" s="6" t="s">
        <v>1770</v>
      </c>
      <c r="F273" s="8" t="s">
        <v>1946</v>
      </c>
      <c r="G273" s="8">
        <f t="shared" si="13"/>
        <v>51</v>
      </c>
      <c r="H273" s="2" t="s">
        <v>1947</v>
      </c>
      <c r="I273" s="2">
        <f t="shared" si="11"/>
        <v>18</v>
      </c>
      <c r="J273" s="2" t="s">
        <v>1948</v>
      </c>
      <c r="K273" s="2">
        <f t="shared" si="12"/>
        <v>33</v>
      </c>
      <c r="L273" s="2" t="s">
        <v>33</v>
      </c>
      <c r="M273" s="2" t="s">
        <v>34</v>
      </c>
      <c r="N273" s="9" t="s">
        <v>334</v>
      </c>
      <c r="O273" s="8" t="s">
        <v>361</v>
      </c>
      <c r="P273" s="8" t="s">
        <v>37</v>
      </c>
      <c r="Q273" s="8" t="s">
        <v>38</v>
      </c>
      <c r="R273" s="8" t="s">
        <v>38</v>
      </c>
      <c r="S273" s="2" t="s">
        <v>1949</v>
      </c>
      <c r="T273" s="2" t="s">
        <v>363</v>
      </c>
      <c r="U273" s="2">
        <v>23594273</v>
      </c>
      <c r="V273" s="2"/>
      <c r="W273" s="2"/>
      <c r="X273" s="2"/>
      <c r="Y273" s="2" t="s">
        <v>364</v>
      </c>
      <c r="Z273" s="2" t="s">
        <v>42</v>
      </c>
      <c r="AA273" s="2"/>
    </row>
    <row r="274" spans="1:27" x14ac:dyDescent="0.2">
      <c r="A274" s="2" t="s">
        <v>1950</v>
      </c>
      <c r="B274" s="24" t="s">
        <v>1951</v>
      </c>
      <c r="C274" s="24"/>
      <c r="D274" s="2"/>
      <c r="E274" s="6" t="s">
        <v>1770</v>
      </c>
      <c r="F274" s="8" t="s">
        <v>1952</v>
      </c>
      <c r="G274" s="8">
        <f t="shared" si="13"/>
        <v>54</v>
      </c>
      <c r="H274" s="2" t="s">
        <v>1953</v>
      </c>
      <c r="I274" s="2">
        <f t="shared" si="11"/>
        <v>23</v>
      </c>
      <c r="J274" s="2" t="s">
        <v>1954</v>
      </c>
      <c r="K274" s="2">
        <f t="shared" si="12"/>
        <v>31</v>
      </c>
      <c r="L274" s="2" t="s">
        <v>33</v>
      </c>
      <c r="M274" s="2" t="s">
        <v>34</v>
      </c>
      <c r="N274" s="9" t="s">
        <v>268</v>
      </c>
      <c r="O274" s="8">
        <v>4010</v>
      </c>
      <c r="P274" s="8" t="s">
        <v>37</v>
      </c>
      <c r="Q274" s="8" t="s">
        <v>38</v>
      </c>
      <c r="R274" s="8" t="s">
        <v>38</v>
      </c>
      <c r="S274" s="2" t="s">
        <v>418</v>
      </c>
      <c r="T274" s="2" t="s">
        <v>1955</v>
      </c>
      <c r="U274" s="2">
        <v>25957244</v>
      </c>
      <c r="V274" s="2"/>
      <c r="W274" s="2"/>
      <c r="X274" s="2"/>
      <c r="Y274" s="2" t="s">
        <v>1956</v>
      </c>
      <c r="Z274" s="2" t="s">
        <v>42</v>
      </c>
      <c r="AA274" s="2"/>
    </row>
    <row r="275" spans="1:27" x14ac:dyDescent="0.2">
      <c r="A275" s="2" t="s">
        <v>1957</v>
      </c>
      <c r="B275" s="24" t="s">
        <v>1958</v>
      </c>
      <c r="C275" s="24"/>
      <c r="D275" s="2"/>
      <c r="E275" s="6" t="s">
        <v>1770</v>
      </c>
      <c r="F275" s="8" t="s">
        <v>1959</v>
      </c>
      <c r="G275" s="8">
        <f t="shared" si="13"/>
        <v>58</v>
      </c>
      <c r="H275" s="2" t="s">
        <v>1960</v>
      </c>
      <c r="I275" s="2">
        <f t="shared" si="11"/>
        <v>21</v>
      </c>
      <c r="J275" s="2" t="s">
        <v>1961</v>
      </c>
      <c r="K275" s="2">
        <f t="shared" si="12"/>
        <v>37</v>
      </c>
      <c r="L275" s="2" t="s">
        <v>33</v>
      </c>
      <c r="M275" s="2" t="s">
        <v>34</v>
      </c>
      <c r="N275" s="9" t="s">
        <v>328</v>
      </c>
      <c r="O275" s="8">
        <v>163</v>
      </c>
      <c r="P275" s="8" t="s">
        <v>37</v>
      </c>
      <c r="Q275" s="8" t="s">
        <v>38</v>
      </c>
      <c r="R275" s="8" t="s">
        <v>38</v>
      </c>
      <c r="S275" s="11" t="s">
        <v>102</v>
      </c>
      <c r="T275" s="2" t="s">
        <v>1962</v>
      </c>
      <c r="U275" s="2">
        <v>26586613</v>
      </c>
      <c r="V275" s="2"/>
      <c r="W275" s="2"/>
      <c r="X275" s="2"/>
      <c r="Y275" s="2" t="s">
        <v>1963</v>
      </c>
      <c r="Z275" s="2" t="s">
        <v>42</v>
      </c>
      <c r="AA275" s="2" t="s">
        <v>1964</v>
      </c>
    </row>
    <row r="276" spans="1:27" x14ac:dyDescent="0.2">
      <c r="A276" s="2" t="s">
        <v>1965</v>
      </c>
      <c r="B276" s="24" t="s">
        <v>1966</v>
      </c>
      <c r="C276" s="24"/>
      <c r="D276" s="2"/>
      <c r="E276" s="6" t="s">
        <v>1770</v>
      </c>
      <c r="F276" s="8" t="s">
        <v>1967</v>
      </c>
      <c r="G276" s="8">
        <f t="shared" si="13"/>
        <v>49</v>
      </c>
      <c r="H276" s="2" t="s">
        <v>1968</v>
      </c>
      <c r="I276" s="2">
        <f t="shared" si="11"/>
        <v>18</v>
      </c>
      <c r="J276" s="2" t="s">
        <v>1969</v>
      </c>
      <c r="K276" s="2">
        <f t="shared" si="12"/>
        <v>31</v>
      </c>
      <c r="L276" s="2" t="s">
        <v>33</v>
      </c>
      <c r="M276" s="2" t="s">
        <v>34</v>
      </c>
      <c r="N276" s="9" t="s">
        <v>1970</v>
      </c>
      <c r="O276" s="8">
        <v>860106</v>
      </c>
      <c r="P276" s="8" t="s">
        <v>37</v>
      </c>
      <c r="Q276" s="8" t="s">
        <v>38</v>
      </c>
      <c r="R276" s="8" t="s">
        <v>38</v>
      </c>
      <c r="S276" s="2" t="s">
        <v>1971</v>
      </c>
      <c r="T276" s="2" t="s">
        <v>1972</v>
      </c>
      <c r="U276" s="2">
        <v>28959301</v>
      </c>
      <c r="V276" s="2"/>
      <c r="W276" s="2"/>
      <c r="X276" s="2"/>
      <c r="Y276" s="2" t="s">
        <v>1973</v>
      </c>
      <c r="Z276" s="2" t="s">
        <v>42</v>
      </c>
      <c r="AA276" s="2"/>
    </row>
    <row r="277" spans="1:27" x14ac:dyDescent="0.2">
      <c r="A277" s="2" t="s">
        <v>1974</v>
      </c>
      <c r="B277" s="24" t="s">
        <v>1975</v>
      </c>
      <c r="C277" s="24"/>
      <c r="D277" s="2"/>
      <c r="E277" s="6" t="s">
        <v>1770</v>
      </c>
      <c r="F277" s="8" t="s">
        <v>1976</v>
      </c>
      <c r="G277" s="8">
        <f t="shared" si="13"/>
        <v>61</v>
      </c>
      <c r="H277" s="2" t="s">
        <v>1977</v>
      </c>
      <c r="I277" s="2">
        <f t="shared" si="11"/>
        <v>15</v>
      </c>
      <c r="J277" s="2" t="s">
        <v>1978</v>
      </c>
      <c r="K277" s="2">
        <f t="shared" si="12"/>
        <v>46</v>
      </c>
      <c r="L277" s="2" t="s">
        <v>33</v>
      </c>
      <c r="M277" s="2" t="s">
        <v>34</v>
      </c>
      <c r="N277" s="9" t="s">
        <v>1979</v>
      </c>
      <c r="O277" s="8" t="s">
        <v>1980</v>
      </c>
      <c r="P277" s="8" t="s">
        <v>37</v>
      </c>
      <c r="Q277" s="8" t="s">
        <v>38</v>
      </c>
      <c r="R277" s="8" t="s">
        <v>38</v>
      </c>
      <c r="S277" s="11" t="s">
        <v>102</v>
      </c>
      <c r="T277" s="2" t="s">
        <v>1981</v>
      </c>
      <c r="U277" s="2">
        <v>32170384</v>
      </c>
      <c r="V277" s="2"/>
      <c r="W277" s="2"/>
      <c r="X277" s="2"/>
      <c r="Y277" s="2" t="s">
        <v>1982</v>
      </c>
      <c r="Z277" s="2" t="s">
        <v>42</v>
      </c>
      <c r="AA277" s="2"/>
    </row>
    <row r="278" spans="1:27" x14ac:dyDescent="0.2">
      <c r="A278" s="2" t="s">
        <v>1983</v>
      </c>
      <c r="B278" s="24" t="s">
        <v>1984</v>
      </c>
      <c r="C278" s="24"/>
      <c r="D278" s="2"/>
      <c r="E278" s="6" t="s">
        <v>1770</v>
      </c>
      <c r="F278" s="8" t="s">
        <v>1985</v>
      </c>
      <c r="G278" s="8">
        <f t="shared" si="13"/>
        <v>61</v>
      </c>
      <c r="H278" s="2" t="s">
        <v>1986</v>
      </c>
      <c r="I278" s="2">
        <f t="shared" si="11"/>
        <v>20</v>
      </c>
      <c r="J278" s="2" t="s">
        <v>1987</v>
      </c>
      <c r="K278" s="2">
        <f t="shared" si="12"/>
        <v>41</v>
      </c>
      <c r="L278" s="2" t="s">
        <v>33</v>
      </c>
      <c r="M278" s="2" t="s">
        <v>34</v>
      </c>
      <c r="N278" s="9" t="s">
        <v>566</v>
      </c>
      <c r="O278" s="8" t="s">
        <v>1988</v>
      </c>
      <c r="P278" s="8" t="s">
        <v>37</v>
      </c>
      <c r="Q278" s="8" t="s">
        <v>38</v>
      </c>
      <c r="R278" s="8" t="s">
        <v>38</v>
      </c>
      <c r="S278" s="11" t="s">
        <v>102</v>
      </c>
      <c r="T278" s="2" t="s">
        <v>1989</v>
      </c>
      <c r="U278" s="2">
        <v>35563074</v>
      </c>
      <c r="V278" s="2"/>
      <c r="W278" s="2"/>
      <c r="X278" s="2"/>
      <c r="Y278" s="2" t="s">
        <v>1990</v>
      </c>
      <c r="Z278" s="2" t="s">
        <v>42</v>
      </c>
      <c r="AA278" s="2"/>
    </row>
    <row r="279" spans="1:27" x14ac:dyDescent="0.2">
      <c r="A279" s="2" t="s">
        <v>1991</v>
      </c>
      <c r="B279" s="24" t="s">
        <v>1992</v>
      </c>
      <c r="C279" s="24"/>
      <c r="D279" s="2"/>
      <c r="E279" s="6" t="s">
        <v>1770</v>
      </c>
      <c r="F279" s="2" t="s">
        <v>1993</v>
      </c>
      <c r="G279" s="8">
        <f t="shared" si="13"/>
        <v>70</v>
      </c>
      <c r="H279" s="2" t="s">
        <v>1994</v>
      </c>
      <c r="I279" s="2">
        <f t="shared" si="11"/>
        <v>20</v>
      </c>
      <c r="J279" s="2" t="s">
        <v>1995</v>
      </c>
      <c r="K279" s="2">
        <f t="shared" si="12"/>
        <v>50</v>
      </c>
      <c r="L279" s="2" t="s">
        <v>33</v>
      </c>
      <c r="M279" s="2" t="s">
        <v>1996</v>
      </c>
      <c r="N279" s="9" t="s">
        <v>566</v>
      </c>
      <c r="O279" s="8" t="s">
        <v>1988</v>
      </c>
      <c r="P279" s="8" t="s">
        <v>37</v>
      </c>
      <c r="Q279" s="8" t="s">
        <v>38</v>
      </c>
      <c r="R279" s="8" t="s">
        <v>38</v>
      </c>
      <c r="S279" s="11" t="s">
        <v>102</v>
      </c>
      <c r="T279" s="2" t="s">
        <v>1989</v>
      </c>
      <c r="U279" s="2">
        <v>35563074</v>
      </c>
      <c r="V279" s="2"/>
      <c r="W279" s="2"/>
      <c r="X279" s="2"/>
      <c r="Y279" s="2" t="s">
        <v>1990</v>
      </c>
      <c r="Z279" s="2" t="s">
        <v>42</v>
      </c>
      <c r="AA279" s="2"/>
    </row>
    <row r="280" spans="1:27" x14ac:dyDescent="0.2">
      <c r="A280" s="2" t="s">
        <v>1997</v>
      </c>
      <c r="B280" s="24" t="s">
        <v>1998</v>
      </c>
      <c r="C280" s="24"/>
      <c r="D280" s="2"/>
      <c r="E280" s="15" t="s">
        <v>1609</v>
      </c>
      <c r="F280" s="18" t="s">
        <v>1999</v>
      </c>
      <c r="G280" s="8">
        <f t="shared" si="13"/>
        <v>96</v>
      </c>
      <c r="H280" s="2" t="s">
        <v>2000</v>
      </c>
      <c r="I280" s="2">
        <f t="shared" si="11"/>
        <v>31</v>
      </c>
      <c r="J280" s="2" t="s">
        <v>2001</v>
      </c>
      <c r="K280" s="2">
        <f t="shared" si="12"/>
        <v>65</v>
      </c>
      <c r="L280" s="2" t="s">
        <v>71</v>
      </c>
      <c r="M280" s="2"/>
      <c r="N280" s="9" t="s">
        <v>2002</v>
      </c>
      <c r="O280" s="8"/>
      <c r="P280" s="8" t="s">
        <v>37</v>
      </c>
      <c r="Q280" s="8" t="s">
        <v>38</v>
      </c>
      <c r="R280" s="8" t="s">
        <v>38</v>
      </c>
      <c r="S280" s="2" t="s">
        <v>2003</v>
      </c>
      <c r="T280" s="2" t="s">
        <v>2004</v>
      </c>
      <c r="U280" s="2">
        <v>11010864</v>
      </c>
      <c r="V280" s="2"/>
      <c r="W280" s="2"/>
      <c r="X280" s="2"/>
      <c r="Y280" s="2" t="s">
        <v>2005</v>
      </c>
      <c r="Z280" s="2" t="s">
        <v>42</v>
      </c>
      <c r="AA280" s="2" t="s">
        <v>2006</v>
      </c>
    </row>
    <row r="281" spans="1:27" x14ac:dyDescent="0.2">
      <c r="A281" s="2" t="s">
        <v>2007</v>
      </c>
      <c r="B281" s="24" t="s">
        <v>2008</v>
      </c>
      <c r="C281" s="24"/>
      <c r="D281" s="2"/>
      <c r="E281" s="15" t="s">
        <v>1770</v>
      </c>
      <c r="F281" s="8" t="s">
        <v>2009</v>
      </c>
      <c r="G281" s="8">
        <f t="shared" si="13"/>
        <v>51</v>
      </c>
      <c r="H281" s="2" t="s">
        <v>2010</v>
      </c>
      <c r="I281" s="2">
        <f t="shared" si="11"/>
        <v>24</v>
      </c>
      <c r="J281" s="2" t="s">
        <v>2011</v>
      </c>
      <c r="K281" s="2">
        <f t="shared" si="12"/>
        <v>27</v>
      </c>
      <c r="L281" s="2" t="s">
        <v>33</v>
      </c>
      <c r="M281" s="2" t="s">
        <v>2012</v>
      </c>
      <c r="N281" s="9" t="s">
        <v>2013</v>
      </c>
      <c r="O281" s="8" t="s">
        <v>2014</v>
      </c>
      <c r="P281" s="8" t="s">
        <v>37</v>
      </c>
      <c r="Q281" s="8" t="s">
        <v>38</v>
      </c>
      <c r="R281" s="8" t="s">
        <v>38</v>
      </c>
      <c r="S281" s="11" t="s">
        <v>102</v>
      </c>
      <c r="T281" s="2" t="s">
        <v>2015</v>
      </c>
      <c r="U281" s="11" t="s">
        <v>102</v>
      </c>
      <c r="V281" s="2"/>
      <c r="W281" s="2"/>
      <c r="X281" s="2"/>
      <c r="Y281" s="2" t="s">
        <v>2016</v>
      </c>
      <c r="Z281" s="2" t="s">
        <v>42</v>
      </c>
      <c r="AA281" s="2"/>
    </row>
    <row r="282" spans="1:27" x14ac:dyDescent="0.2">
      <c r="A282" s="2" t="s">
        <v>2017</v>
      </c>
      <c r="B282" s="24" t="s">
        <v>1822</v>
      </c>
      <c r="C282" s="24"/>
      <c r="D282" s="2" t="s">
        <v>1821</v>
      </c>
      <c r="E282" s="15" t="s">
        <v>1770</v>
      </c>
      <c r="F282" s="2" t="s">
        <v>2018</v>
      </c>
      <c r="G282" s="8">
        <f t="shared" si="13"/>
        <v>71</v>
      </c>
      <c r="H282" s="2" t="s">
        <v>1824</v>
      </c>
      <c r="I282" s="2">
        <f t="shared" si="11"/>
        <v>18</v>
      </c>
      <c r="J282" s="2" t="s">
        <v>1825</v>
      </c>
      <c r="K282" s="2">
        <f t="shared" si="12"/>
        <v>53</v>
      </c>
      <c r="L282" s="2" t="s">
        <v>33</v>
      </c>
      <c r="M282" s="2" t="s">
        <v>34</v>
      </c>
      <c r="N282" s="9" t="s">
        <v>139</v>
      </c>
      <c r="O282" s="8" t="s">
        <v>2019</v>
      </c>
      <c r="P282" s="8" t="s">
        <v>37</v>
      </c>
      <c r="Q282" s="8" t="s">
        <v>38</v>
      </c>
      <c r="R282" s="8" t="s">
        <v>38</v>
      </c>
      <c r="S282" s="2" t="s">
        <v>2020</v>
      </c>
      <c r="T282" s="2" t="s">
        <v>2021</v>
      </c>
      <c r="U282" s="2">
        <v>7764997</v>
      </c>
      <c r="V282" s="2"/>
      <c r="W282" s="2"/>
      <c r="X282" s="2"/>
      <c r="Y282" s="2" t="s">
        <v>2022</v>
      </c>
      <c r="Z282" s="2" t="s">
        <v>42</v>
      </c>
      <c r="AA282" s="2"/>
    </row>
    <row r="283" spans="1:27" x14ac:dyDescent="0.2">
      <c r="A283" s="2" t="s">
        <v>2023</v>
      </c>
      <c r="B283" s="24" t="s">
        <v>2024</v>
      </c>
      <c r="C283" s="24"/>
      <c r="D283" s="2"/>
      <c r="E283" s="15" t="s">
        <v>1770</v>
      </c>
      <c r="F283" s="2" t="s">
        <v>2025</v>
      </c>
      <c r="G283" s="8">
        <f t="shared" si="13"/>
        <v>103</v>
      </c>
      <c r="H283" s="2" t="s">
        <v>2026</v>
      </c>
      <c r="I283" s="2">
        <f t="shared" ref="I283:I321" si="14">LEN(H283)</f>
        <v>15</v>
      </c>
      <c r="J283" s="2" t="s">
        <v>2027</v>
      </c>
      <c r="K283" s="2">
        <f t="shared" si="12"/>
        <v>88</v>
      </c>
      <c r="L283" s="2" t="s">
        <v>33</v>
      </c>
      <c r="M283" s="2" t="s">
        <v>34</v>
      </c>
      <c r="N283" s="9" t="s">
        <v>2028</v>
      </c>
      <c r="O283" s="8" t="s">
        <v>2029</v>
      </c>
      <c r="P283" s="8" t="s">
        <v>2030</v>
      </c>
      <c r="Q283" s="8" t="s">
        <v>38</v>
      </c>
      <c r="R283" s="8" t="s">
        <v>38</v>
      </c>
      <c r="S283" s="11" t="s">
        <v>102</v>
      </c>
      <c r="T283" s="2" t="s">
        <v>2031</v>
      </c>
      <c r="U283" s="2">
        <v>7952189</v>
      </c>
      <c r="V283" s="2"/>
      <c r="W283" s="2"/>
      <c r="X283" s="2"/>
      <c r="Y283" s="2" t="s">
        <v>2032</v>
      </c>
      <c r="Z283" s="2" t="s">
        <v>42</v>
      </c>
      <c r="AA283" s="2" t="s">
        <v>2033</v>
      </c>
    </row>
    <row r="284" spans="1:27" x14ac:dyDescent="0.2">
      <c r="A284" s="2" t="s">
        <v>2034</v>
      </c>
      <c r="B284" s="24" t="s">
        <v>2035</v>
      </c>
      <c r="C284" s="24"/>
      <c r="D284" s="2"/>
      <c r="E284" s="15" t="s">
        <v>1770</v>
      </c>
      <c r="F284" s="2" t="s">
        <v>2036</v>
      </c>
      <c r="G284" s="2">
        <f t="shared" si="13"/>
        <v>105</v>
      </c>
      <c r="H284" s="2" t="s">
        <v>2037</v>
      </c>
      <c r="I284" s="2">
        <f t="shared" si="14"/>
        <v>15</v>
      </c>
      <c r="J284" s="2" t="s">
        <v>2038</v>
      </c>
      <c r="K284" s="2">
        <f t="shared" si="12"/>
        <v>90</v>
      </c>
      <c r="L284" s="2" t="s">
        <v>33</v>
      </c>
      <c r="M284" s="2" t="s">
        <v>2012</v>
      </c>
      <c r="N284" s="9" t="s">
        <v>2028</v>
      </c>
      <c r="O284" s="8" t="s">
        <v>2039</v>
      </c>
      <c r="P284" s="8" t="s">
        <v>2030</v>
      </c>
      <c r="Q284" s="8" t="s">
        <v>38</v>
      </c>
      <c r="R284" s="8" t="s">
        <v>38</v>
      </c>
      <c r="S284" s="2" t="s">
        <v>2040</v>
      </c>
      <c r="T284" s="2" t="s">
        <v>2041</v>
      </c>
      <c r="U284" s="2">
        <v>14742202</v>
      </c>
      <c r="V284" s="2"/>
      <c r="W284" s="2"/>
      <c r="X284" s="2"/>
      <c r="Y284" s="2" t="s">
        <v>2042</v>
      </c>
      <c r="Z284" s="2" t="s">
        <v>42</v>
      </c>
      <c r="AA284" s="2" t="s">
        <v>2033</v>
      </c>
    </row>
    <row r="285" spans="1:27" x14ac:dyDescent="0.2">
      <c r="A285" s="2" t="s">
        <v>2043</v>
      </c>
      <c r="B285" s="24" t="s">
        <v>2044</v>
      </c>
      <c r="C285" s="24"/>
      <c r="D285" s="2"/>
      <c r="E285" s="15" t="s">
        <v>1770</v>
      </c>
      <c r="F285" s="2" t="s">
        <v>2045</v>
      </c>
      <c r="G285" s="2">
        <f t="shared" si="13"/>
        <v>75</v>
      </c>
      <c r="H285" s="2" t="s">
        <v>2046</v>
      </c>
      <c r="I285" s="2">
        <f t="shared" si="14"/>
        <v>15</v>
      </c>
      <c r="J285" s="2" t="s">
        <v>2047</v>
      </c>
      <c r="K285" s="2">
        <f t="shared" si="12"/>
        <v>60</v>
      </c>
      <c r="L285" s="2" t="s">
        <v>33</v>
      </c>
      <c r="M285" s="2" t="s">
        <v>2012</v>
      </c>
      <c r="N285" s="9" t="s">
        <v>2028</v>
      </c>
      <c r="O285" s="8"/>
      <c r="P285" s="8" t="s">
        <v>2030</v>
      </c>
      <c r="Q285" s="8" t="s">
        <v>38</v>
      </c>
      <c r="R285" s="8" t="s">
        <v>38</v>
      </c>
      <c r="S285" s="2" t="s">
        <v>2048</v>
      </c>
      <c r="T285" s="2" t="s">
        <v>2049</v>
      </c>
      <c r="U285" s="2"/>
      <c r="V285" s="2"/>
      <c r="W285" s="2">
        <v>10471561</v>
      </c>
      <c r="X285" s="2"/>
      <c r="Y285" s="2" t="s">
        <v>2050</v>
      </c>
      <c r="Z285" s="2" t="s">
        <v>42</v>
      </c>
      <c r="AA285" s="2" t="s">
        <v>2033</v>
      </c>
    </row>
    <row r="286" spans="1:27" x14ac:dyDescent="0.2">
      <c r="A286" s="2" t="s">
        <v>2051</v>
      </c>
      <c r="B286" s="24" t="s">
        <v>2052</v>
      </c>
      <c r="C286" s="24"/>
      <c r="D286" s="2"/>
      <c r="E286" s="15" t="s">
        <v>1770</v>
      </c>
      <c r="F286" s="8" t="s">
        <v>2053</v>
      </c>
      <c r="G286" s="2">
        <f t="shared" si="13"/>
        <v>45</v>
      </c>
      <c r="H286" s="2" t="s">
        <v>2054</v>
      </c>
      <c r="I286" s="2">
        <f t="shared" si="14"/>
        <v>18</v>
      </c>
      <c r="J286" s="2" t="s">
        <v>2055</v>
      </c>
      <c r="K286" s="2">
        <f t="shared" si="12"/>
        <v>27</v>
      </c>
      <c r="L286" s="2" t="s">
        <v>33</v>
      </c>
      <c r="M286" s="2" t="s">
        <v>34</v>
      </c>
      <c r="N286" s="9" t="s">
        <v>83</v>
      </c>
      <c r="O286" s="8" t="s">
        <v>205</v>
      </c>
      <c r="P286" s="8" t="s">
        <v>37</v>
      </c>
      <c r="Q286" s="8" t="s">
        <v>38</v>
      </c>
      <c r="R286" s="8" t="s">
        <v>38</v>
      </c>
      <c r="S286" s="2" t="s">
        <v>2056</v>
      </c>
      <c r="T286" s="2" t="s">
        <v>1089</v>
      </c>
      <c r="U286" s="2">
        <v>22738965</v>
      </c>
      <c r="V286" s="2"/>
      <c r="W286" s="2"/>
      <c r="X286" s="2"/>
      <c r="Y286" s="2" t="s">
        <v>1090</v>
      </c>
      <c r="Z286" s="2" t="s">
        <v>42</v>
      </c>
      <c r="AA286" s="2" t="s">
        <v>2057</v>
      </c>
    </row>
    <row r="287" spans="1:27" x14ac:dyDescent="0.2">
      <c r="A287" s="2" t="s">
        <v>2058</v>
      </c>
      <c r="B287" s="24" t="s">
        <v>2059</v>
      </c>
      <c r="C287" s="24"/>
      <c r="D287" s="2"/>
      <c r="E287" s="15" t="s">
        <v>1770</v>
      </c>
      <c r="F287" s="8" t="s">
        <v>2060</v>
      </c>
      <c r="G287" s="2">
        <f t="shared" si="13"/>
        <v>39</v>
      </c>
      <c r="H287" s="2" t="s">
        <v>2061</v>
      </c>
      <c r="I287" s="2">
        <f t="shared" si="14"/>
        <v>15</v>
      </c>
      <c r="J287" s="2" t="s">
        <v>2062</v>
      </c>
      <c r="K287" s="2">
        <f t="shared" si="12"/>
        <v>24</v>
      </c>
      <c r="L287" s="2" t="s">
        <v>33</v>
      </c>
      <c r="M287" s="2" t="s">
        <v>34</v>
      </c>
      <c r="N287" s="9" t="s">
        <v>2063</v>
      </c>
      <c r="O287" s="8" t="s">
        <v>2064</v>
      </c>
      <c r="P287" s="8" t="s">
        <v>37</v>
      </c>
      <c r="Q287" s="8" t="s">
        <v>38</v>
      </c>
      <c r="R287" s="8" t="s">
        <v>38</v>
      </c>
      <c r="S287" s="11" t="s">
        <v>102</v>
      </c>
      <c r="T287" s="2" t="s">
        <v>2065</v>
      </c>
      <c r="U287" s="2">
        <v>22688903</v>
      </c>
      <c r="V287" s="2"/>
      <c r="W287" s="2"/>
      <c r="X287" s="2"/>
      <c r="Y287" s="2" t="s">
        <v>2066</v>
      </c>
      <c r="Z287" s="2" t="s">
        <v>42</v>
      </c>
      <c r="AA287" s="2"/>
    </row>
    <row r="288" spans="1:27" x14ac:dyDescent="0.2">
      <c r="A288" s="2" t="s">
        <v>2067</v>
      </c>
      <c r="B288" s="24" t="s">
        <v>2068</v>
      </c>
      <c r="C288" s="24"/>
      <c r="D288" s="2"/>
      <c r="E288" s="15" t="s">
        <v>1770</v>
      </c>
      <c r="F288" s="8" t="s">
        <v>2069</v>
      </c>
      <c r="G288" s="2">
        <f t="shared" si="13"/>
        <v>45</v>
      </c>
      <c r="H288" s="2" t="s">
        <v>2070</v>
      </c>
      <c r="I288" s="2">
        <f t="shared" si="14"/>
        <v>23</v>
      </c>
      <c r="J288" s="2" t="s">
        <v>2071</v>
      </c>
      <c r="K288" s="2">
        <f t="shared" si="12"/>
        <v>22</v>
      </c>
      <c r="L288" s="2" t="s">
        <v>33</v>
      </c>
      <c r="M288" s="2" t="s">
        <v>34</v>
      </c>
      <c r="N288" s="9" t="s">
        <v>2063</v>
      </c>
      <c r="O288" s="8" t="s">
        <v>2064</v>
      </c>
      <c r="P288" s="8" t="s">
        <v>37</v>
      </c>
      <c r="Q288" s="8" t="s">
        <v>38</v>
      </c>
      <c r="R288" s="8" t="s">
        <v>38</v>
      </c>
      <c r="S288" s="11" t="s">
        <v>102</v>
      </c>
      <c r="T288" s="2" t="s">
        <v>2065</v>
      </c>
      <c r="U288" s="2">
        <v>22688903</v>
      </c>
      <c r="V288" s="2"/>
      <c r="W288" s="2"/>
      <c r="X288" s="2"/>
      <c r="Y288" s="2" t="s">
        <v>2066</v>
      </c>
      <c r="Z288" s="2" t="s">
        <v>42</v>
      </c>
      <c r="AA288" s="2"/>
    </row>
    <row r="289" spans="1:27" x14ac:dyDescent="0.2">
      <c r="A289" s="2" t="s">
        <v>2072</v>
      </c>
      <c r="B289" s="24" t="s">
        <v>2073</v>
      </c>
      <c r="C289" s="24"/>
      <c r="D289" s="2"/>
      <c r="E289" s="15" t="s">
        <v>1770</v>
      </c>
      <c r="F289" s="2" t="s">
        <v>2074</v>
      </c>
      <c r="G289" s="2">
        <f t="shared" si="13"/>
        <v>89</v>
      </c>
      <c r="H289" s="2" t="s">
        <v>2075</v>
      </c>
      <c r="I289" s="2">
        <f t="shared" si="14"/>
        <v>15</v>
      </c>
      <c r="J289" s="2" t="s">
        <v>2076</v>
      </c>
      <c r="K289" s="2">
        <f t="shared" si="12"/>
        <v>74</v>
      </c>
      <c r="L289" s="2" t="s">
        <v>33</v>
      </c>
      <c r="M289" s="2" t="s">
        <v>2012</v>
      </c>
      <c r="N289" s="9" t="s">
        <v>2028</v>
      </c>
      <c r="O289" s="8" t="s">
        <v>2077</v>
      </c>
      <c r="P289" s="8" t="s">
        <v>2030</v>
      </c>
      <c r="Q289" s="8" t="s">
        <v>38</v>
      </c>
      <c r="R289" s="8" t="s">
        <v>38</v>
      </c>
      <c r="S289" s="2" t="s">
        <v>2078</v>
      </c>
      <c r="T289" s="2" t="s">
        <v>2079</v>
      </c>
      <c r="U289" s="2">
        <v>27190283</v>
      </c>
      <c r="V289" s="2"/>
      <c r="W289" s="2"/>
      <c r="X289" s="2"/>
      <c r="Y289" s="2" t="s">
        <v>2080</v>
      </c>
      <c r="Z289" s="2" t="s">
        <v>42</v>
      </c>
      <c r="AA289" s="2" t="s">
        <v>2033</v>
      </c>
    </row>
    <row r="290" spans="1:27" x14ac:dyDescent="0.2">
      <c r="A290" s="2" t="s">
        <v>2081</v>
      </c>
      <c r="B290" s="24" t="s">
        <v>2082</v>
      </c>
      <c r="C290" s="24"/>
      <c r="D290" s="2"/>
      <c r="E290" s="15" t="s">
        <v>1770</v>
      </c>
      <c r="F290" s="8" t="s">
        <v>2083</v>
      </c>
      <c r="G290" s="2">
        <f t="shared" si="13"/>
        <v>64</v>
      </c>
      <c r="H290" s="2" t="s">
        <v>2084</v>
      </c>
      <c r="I290" s="2">
        <f t="shared" si="14"/>
        <v>21</v>
      </c>
      <c r="J290" s="2" t="s">
        <v>2085</v>
      </c>
      <c r="K290" s="2">
        <f t="shared" si="12"/>
        <v>43</v>
      </c>
      <c r="L290" s="2" t="s">
        <v>33</v>
      </c>
      <c r="M290" s="2" t="s">
        <v>34</v>
      </c>
      <c r="N290" s="9" t="s">
        <v>328</v>
      </c>
      <c r="O290" s="8" t="s">
        <v>2086</v>
      </c>
      <c r="P290" s="8" t="s">
        <v>37</v>
      </c>
      <c r="Q290" s="8" t="s">
        <v>38</v>
      </c>
      <c r="R290" s="8" t="s">
        <v>38</v>
      </c>
      <c r="S290" s="2" t="s">
        <v>2087</v>
      </c>
      <c r="T290" s="2" t="s">
        <v>2088</v>
      </c>
      <c r="U290" s="2">
        <v>19939484</v>
      </c>
      <c r="V290" s="2" t="s">
        <v>2089</v>
      </c>
      <c r="W290" s="2" t="s">
        <v>2090</v>
      </c>
      <c r="X290" s="2"/>
      <c r="Y290" s="2" t="s">
        <v>2091</v>
      </c>
      <c r="Z290" s="2" t="s">
        <v>42</v>
      </c>
      <c r="AA290" s="2"/>
    </row>
    <row r="291" spans="1:27" x14ac:dyDescent="0.2">
      <c r="A291" s="2" t="s">
        <v>2092</v>
      </c>
      <c r="B291" s="24" t="s">
        <v>2093</v>
      </c>
      <c r="C291" s="24"/>
      <c r="D291" s="2"/>
      <c r="E291" s="15" t="s">
        <v>1770</v>
      </c>
      <c r="F291" s="19" t="s">
        <v>2094</v>
      </c>
      <c r="G291" s="2">
        <f t="shared" si="13"/>
        <v>67</v>
      </c>
      <c r="H291" s="2" t="s">
        <v>2095</v>
      </c>
      <c r="I291" s="2">
        <f t="shared" si="14"/>
        <v>18</v>
      </c>
      <c r="J291" s="2" t="s">
        <v>2096</v>
      </c>
      <c r="K291" s="2">
        <f t="shared" si="12"/>
        <v>49</v>
      </c>
      <c r="L291" s="2" t="s">
        <v>33</v>
      </c>
      <c r="M291" s="2" t="s">
        <v>34</v>
      </c>
      <c r="N291" s="9" t="s">
        <v>334</v>
      </c>
      <c r="O291" s="8" t="s">
        <v>2097</v>
      </c>
      <c r="P291" s="8" t="s">
        <v>37</v>
      </c>
      <c r="Q291" s="8" t="s">
        <v>38</v>
      </c>
      <c r="R291" s="8" t="s">
        <v>38</v>
      </c>
      <c r="S291" s="2" t="s">
        <v>2098</v>
      </c>
      <c r="T291" s="2" t="s">
        <v>2099</v>
      </c>
      <c r="U291" s="2">
        <v>16000763</v>
      </c>
      <c r="V291" s="2"/>
      <c r="W291" s="2"/>
      <c r="X291" s="2"/>
      <c r="Y291" s="2" t="s">
        <v>2100</v>
      </c>
      <c r="Z291" s="2" t="s">
        <v>42</v>
      </c>
      <c r="AA291" s="2"/>
    </row>
    <row r="292" spans="1:27" x14ac:dyDescent="0.2">
      <c r="A292" s="2" t="s">
        <v>2101</v>
      </c>
      <c r="B292" s="24" t="s">
        <v>2102</v>
      </c>
      <c r="C292" s="24"/>
      <c r="D292" s="2"/>
      <c r="E292" s="15" t="s">
        <v>1770</v>
      </c>
      <c r="F292" s="8" t="s">
        <v>2103</v>
      </c>
      <c r="G292" s="2">
        <f t="shared" si="13"/>
        <v>62</v>
      </c>
      <c r="H292" s="2" t="s">
        <v>2095</v>
      </c>
      <c r="I292" s="2">
        <f t="shared" si="14"/>
        <v>18</v>
      </c>
      <c r="J292" s="2" t="s">
        <v>2104</v>
      </c>
      <c r="K292" s="2">
        <f t="shared" si="12"/>
        <v>44</v>
      </c>
      <c r="L292" s="2" t="s">
        <v>33</v>
      </c>
      <c r="M292" s="2" t="s">
        <v>34</v>
      </c>
      <c r="N292" s="9" t="s">
        <v>179</v>
      </c>
      <c r="O292" s="8" t="s">
        <v>180</v>
      </c>
      <c r="P292" s="8" t="s">
        <v>37</v>
      </c>
      <c r="Q292" s="8" t="s">
        <v>38</v>
      </c>
      <c r="R292" s="8" t="s">
        <v>38</v>
      </c>
      <c r="S292" s="11" t="s">
        <v>102</v>
      </c>
      <c r="T292" s="2" t="s">
        <v>2105</v>
      </c>
      <c r="U292" s="2">
        <v>17690878</v>
      </c>
      <c r="V292" s="2"/>
      <c r="W292" s="2"/>
      <c r="X292" s="2"/>
      <c r="Y292" s="2" t="s">
        <v>2106</v>
      </c>
      <c r="Z292" s="2" t="s">
        <v>42</v>
      </c>
      <c r="AA292" s="2"/>
    </row>
    <row r="293" spans="1:27" x14ac:dyDescent="0.2">
      <c r="A293" s="2" t="s">
        <v>2107</v>
      </c>
      <c r="B293" s="24" t="s">
        <v>2108</v>
      </c>
      <c r="C293" s="24"/>
      <c r="D293" s="2"/>
      <c r="E293" s="15" t="s">
        <v>1770</v>
      </c>
      <c r="F293" s="8" t="s">
        <v>2109</v>
      </c>
      <c r="G293" s="2">
        <f t="shared" si="13"/>
        <v>64</v>
      </c>
      <c r="H293" s="2" t="s">
        <v>2110</v>
      </c>
      <c r="I293" s="2">
        <f t="shared" si="14"/>
        <v>16</v>
      </c>
      <c r="J293" s="2" t="s">
        <v>2111</v>
      </c>
      <c r="K293" s="2">
        <f t="shared" si="12"/>
        <v>48</v>
      </c>
      <c r="L293" s="2" t="s">
        <v>1613</v>
      </c>
      <c r="M293" s="2"/>
      <c r="N293" s="9" t="s">
        <v>2112</v>
      </c>
      <c r="O293" s="8"/>
      <c r="P293" s="8" t="s">
        <v>37</v>
      </c>
      <c r="Q293" s="8" t="s">
        <v>38</v>
      </c>
      <c r="R293" s="8" t="s">
        <v>38</v>
      </c>
      <c r="S293" s="2" t="s">
        <v>2113</v>
      </c>
      <c r="T293" s="2" t="s">
        <v>2114</v>
      </c>
      <c r="U293" s="2">
        <v>2460717</v>
      </c>
      <c r="V293" s="2"/>
      <c r="W293" s="2"/>
      <c r="X293" s="2"/>
      <c r="Y293" s="2" t="s">
        <v>2115</v>
      </c>
      <c r="Z293" s="2" t="s">
        <v>42</v>
      </c>
      <c r="AA293" s="2"/>
    </row>
    <row r="294" spans="1:27" x14ac:dyDescent="0.2">
      <c r="A294" s="2" t="s">
        <v>2116</v>
      </c>
      <c r="B294" s="24" t="s">
        <v>2117</v>
      </c>
      <c r="C294" s="24"/>
      <c r="D294" s="2"/>
      <c r="E294" s="15" t="s">
        <v>1770</v>
      </c>
      <c r="F294" s="8" t="s">
        <v>2118</v>
      </c>
      <c r="G294" s="2">
        <f t="shared" si="13"/>
        <v>53</v>
      </c>
      <c r="H294" s="2" t="s">
        <v>2119</v>
      </c>
      <c r="I294" s="2">
        <f t="shared" si="14"/>
        <v>23</v>
      </c>
      <c r="J294" s="2" t="s">
        <v>2120</v>
      </c>
      <c r="K294" s="2">
        <f t="shared" si="12"/>
        <v>30</v>
      </c>
      <c r="L294" s="2" t="s">
        <v>33</v>
      </c>
      <c r="M294" s="2" t="s">
        <v>34</v>
      </c>
      <c r="N294" s="9" t="s">
        <v>1676</v>
      </c>
      <c r="O294" s="8" t="s">
        <v>2121</v>
      </c>
      <c r="P294" s="8" t="s">
        <v>37</v>
      </c>
      <c r="Q294" s="8" t="s">
        <v>38</v>
      </c>
      <c r="R294" s="8" t="s">
        <v>38</v>
      </c>
      <c r="S294" s="11" t="s">
        <v>102</v>
      </c>
      <c r="T294" s="2" t="s">
        <v>2122</v>
      </c>
      <c r="U294" s="2">
        <v>17693498</v>
      </c>
      <c r="V294" s="2"/>
      <c r="W294" s="2"/>
      <c r="X294" s="2"/>
      <c r="Y294" s="2" t="s">
        <v>2123</v>
      </c>
      <c r="Z294" s="2" t="s">
        <v>42</v>
      </c>
      <c r="AA294" s="2"/>
    </row>
    <row r="295" spans="1:27" x14ac:dyDescent="0.2">
      <c r="A295" s="2" t="s">
        <v>2124</v>
      </c>
      <c r="B295" s="24" t="s">
        <v>2125</v>
      </c>
      <c r="C295" s="24"/>
      <c r="D295" s="2"/>
      <c r="E295" s="15" t="s">
        <v>1770</v>
      </c>
      <c r="F295" s="8" t="s">
        <v>2126</v>
      </c>
      <c r="G295" s="2">
        <f t="shared" si="13"/>
        <v>58</v>
      </c>
      <c r="H295" s="2" t="s">
        <v>2127</v>
      </c>
      <c r="I295" s="2">
        <f t="shared" si="14"/>
        <v>23</v>
      </c>
      <c r="J295" s="2" t="s">
        <v>2128</v>
      </c>
      <c r="K295" s="2">
        <f t="shared" si="12"/>
        <v>35</v>
      </c>
      <c r="L295" s="2" t="s">
        <v>33</v>
      </c>
      <c r="M295" s="2" t="s">
        <v>34</v>
      </c>
      <c r="N295" s="9" t="s">
        <v>1676</v>
      </c>
      <c r="O295" s="8" t="s">
        <v>2129</v>
      </c>
      <c r="P295" s="8" t="s">
        <v>37</v>
      </c>
      <c r="Q295" s="8" t="s">
        <v>38</v>
      </c>
      <c r="R295" s="8" t="s">
        <v>38</v>
      </c>
      <c r="S295" s="11" t="s">
        <v>102</v>
      </c>
      <c r="T295" s="2" t="s">
        <v>2130</v>
      </c>
      <c r="U295" s="2">
        <v>18156339</v>
      </c>
      <c r="V295" s="2"/>
      <c r="W295" s="2"/>
      <c r="X295" s="2"/>
      <c r="Y295" s="2" t="s">
        <v>2131</v>
      </c>
      <c r="Z295" s="2" t="s">
        <v>42</v>
      </c>
      <c r="AA295" s="2"/>
    </row>
    <row r="296" spans="1:27" x14ac:dyDescent="0.2">
      <c r="A296" s="2" t="s">
        <v>2132</v>
      </c>
      <c r="B296" s="24" t="s">
        <v>2133</v>
      </c>
      <c r="C296" s="24"/>
      <c r="D296" s="2"/>
      <c r="E296" s="15" t="s">
        <v>1770</v>
      </c>
      <c r="F296" s="8" t="s">
        <v>2134</v>
      </c>
      <c r="G296" s="2">
        <f t="shared" si="13"/>
        <v>57</v>
      </c>
      <c r="H296" s="2" t="s">
        <v>2135</v>
      </c>
      <c r="I296" s="2">
        <f t="shared" si="14"/>
        <v>15</v>
      </c>
      <c r="J296" s="2" t="s">
        <v>2136</v>
      </c>
      <c r="K296" s="2">
        <f t="shared" si="12"/>
        <v>42</v>
      </c>
      <c r="L296" s="2" t="s">
        <v>33</v>
      </c>
      <c r="M296" s="2" t="s">
        <v>34</v>
      </c>
      <c r="N296" s="9" t="s">
        <v>2137</v>
      </c>
      <c r="O296" s="8" t="s">
        <v>2138</v>
      </c>
      <c r="P296" s="8" t="s">
        <v>2030</v>
      </c>
      <c r="Q296" s="8" t="s">
        <v>38</v>
      </c>
      <c r="R296" s="8" t="s">
        <v>38</v>
      </c>
      <c r="S296" s="11" t="s">
        <v>102</v>
      </c>
      <c r="T296" s="2" t="s">
        <v>2139</v>
      </c>
      <c r="U296" s="2">
        <v>31371723</v>
      </c>
      <c r="V296" s="2"/>
      <c r="W296" s="2"/>
      <c r="X296" s="2"/>
      <c r="Y296" s="2" t="s">
        <v>2140</v>
      </c>
      <c r="Z296" s="2" t="s">
        <v>42</v>
      </c>
      <c r="AA296" s="2"/>
    </row>
    <row r="297" spans="1:27" x14ac:dyDescent="0.2">
      <c r="A297" s="2" t="s">
        <v>2141</v>
      </c>
      <c r="B297" s="24" t="s">
        <v>2142</v>
      </c>
      <c r="C297" s="24"/>
      <c r="D297" s="2"/>
      <c r="E297" s="15" t="s">
        <v>1770</v>
      </c>
      <c r="F297" s="8" t="s">
        <v>2143</v>
      </c>
      <c r="G297" s="2">
        <f t="shared" si="13"/>
        <v>57</v>
      </c>
      <c r="H297" s="2" t="s">
        <v>2144</v>
      </c>
      <c r="I297" s="2">
        <f t="shared" si="14"/>
        <v>15</v>
      </c>
      <c r="J297" s="2" t="s">
        <v>2145</v>
      </c>
      <c r="K297" s="2">
        <f t="shared" si="12"/>
        <v>42</v>
      </c>
      <c r="L297" s="2" t="s">
        <v>33</v>
      </c>
      <c r="M297" s="2" t="s">
        <v>34</v>
      </c>
      <c r="N297" s="9" t="s">
        <v>2146</v>
      </c>
      <c r="O297" s="8" t="s">
        <v>2147</v>
      </c>
      <c r="P297" s="8" t="s">
        <v>2030</v>
      </c>
      <c r="Q297" s="8" t="s">
        <v>38</v>
      </c>
      <c r="R297" s="8" t="s">
        <v>38</v>
      </c>
      <c r="S297" s="11" t="s">
        <v>102</v>
      </c>
      <c r="T297" s="2" t="s">
        <v>2139</v>
      </c>
      <c r="U297" s="2">
        <v>31371723</v>
      </c>
      <c r="V297" s="2"/>
      <c r="W297" s="2"/>
      <c r="X297" s="2"/>
      <c r="Y297" s="2" t="s">
        <v>2140</v>
      </c>
      <c r="Z297" s="2" t="s">
        <v>42</v>
      </c>
      <c r="AA297" s="2"/>
    </row>
    <row r="298" spans="1:27" x14ac:dyDescent="0.2">
      <c r="A298" s="2" t="s">
        <v>2148</v>
      </c>
      <c r="B298" s="24" t="s">
        <v>2149</v>
      </c>
      <c r="C298" s="24"/>
      <c r="D298" s="2"/>
      <c r="E298" s="15" t="s">
        <v>1770</v>
      </c>
      <c r="F298" s="8" t="s">
        <v>2150</v>
      </c>
      <c r="G298" s="2">
        <f t="shared" si="13"/>
        <v>54</v>
      </c>
      <c r="H298" s="2" t="s">
        <v>2151</v>
      </c>
      <c r="I298" s="2">
        <f t="shared" si="14"/>
        <v>15</v>
      </c>
      <c r="J298" s="2" t="s">
        <v>2152</v>
      </c>
      <c r="K298" s="2">
        <f t="shared" si="12"/>
        <v>39</v>
      </c>
      <c r="L298" s="2" t="s">
        <v>33</v>
      </c>
      <c r="M298" s="2" t="s">
        <v>34</v>
      </c>
      <c r="N298" s="9" t="s">
        <v>2153</v>
      </c>
      <c r="O298" s="8" t="s">
        <v>2154</v>
      </c>
      <c r="P298" s="8" t="s">
        <v>2030</v>
      </c>
      <c r="Q298" s="8" t="s">
        <v>38</v>
      </c>
      <c r="R298" s="8" t="s">
        <v>38</v>
      </c>
      <c r="S298" s="11" t="s">
        <v>102</v>
      </c>
      <c r="T298" s="2" t="s">
        <v>2139</v>
      </c>
      <c r="U298" s="2">
        <v>31371723</v>
      </c>
      <c r="V298" s="2"/>
      <c r="W298" s="2"/>
      <c r="X298" s="2"/>
      <c r="Y298" s="2" t="s">
        <v>2140</v>
      </c>
      <c r="Z298" s="2" t="s">
        <v>42</v>
      </c>
      <c r="AA298" s="2"/>
    </row>
    <row r="299" spans="1:27" x14ac:dyDescent="0.2">
      <c r="A299" s="2" t="s">
        <v>2155</v>
      </c>
      <c r="B299" s="24" t="s">
        <v>2156</v>
      </c>
      <c r="C299" s="24"/>
      <c r="D299" s="2"/>
      <c r="E299" s="15" t="s">
        <v>1770</v>
      </c>
      <c r="F299" s="2" t="s">
        <v>2157</v>
      </c>
      <c r="G299" s="2">
        <f t="shared" si="13"/>
        <v>60</v>
      </c>
      <c r="H299" s="2" t="s">
        <v>2158</v>
      </c>
      <c r="I299" s="2">
        <f t="shared" si="14"/>
        <v>15</v>
      </c>
      <c r="J299" s="2" t="s">
        <v>2159</v>
      </c>
      <c r="K299" s="2">
        <f t="shared" si="12"/>
        <v>45</v>
      </c>
      <c r="L299" s="2" t="s">
        <v>33</v>
      </c>
      <c r="M299" s="2" t="s">
        <v>34</v>
      </c>
      <c r="N299" s="7" t="s">
        <v>2160</v>
      </c>
      <c r="O299" s="2" t="s">
        <v>2161</v>
      </c>
      <c r="P299" s="8" t="s">
        <v>2030</v>
      </c>
      <c r="Q299" s="8" t="s">
        <v>38</v>
      </c>
      <c r="R299" s="8" t="s">
        <v>38</v>
      </c>
      <c r="S299" s="11" t="s">
        <v>102</v>
      </c>
      <c r="T299" s="2" t="s">
        <v>2139</v>
      </c>
      <c r="U299" s="2">
        <v>31371723</v>
      </c>
      <c r="V299" s="2"/>
      <c r="W299" s="2"/>
      <c r="X299" s="2"/>
      <c r="Y299" s="2" t="s">
        <v>2140</v>
      </c>
      <c r="Z299" s="2" t="s">
        <v>42</v>
      </c>
      <c r="AA299" s="2"/>
    </row>
    <row r="300" spans="1:27" x14ac:dyDescent="0.2">
      <c r="A300" s="2" t="s">
        <v>2162</v>
      </c>
      <c r="B300" s="24" t="s">
        <v>2163</v>
      </c>
      <c r="C300" s="24"/>
      <c r="D300" s="2"/>
      <c r="E300" s="15" t="s">
        <v>1770</v>
      </c>
      <c r="F300" s="2" t="s">
        <v>2164</v>
      </c>
      <c r="G300" s="2">
        <f t="shared" si="13"/>
        <v>66</v>
      </c>
      <c r="H300" s="2" t="s">
        <v>2165</v>
      </c>
      <c r="I300" s="2">
        <f t="shared" si="14"/>
        <v>30</v>
      </c>
      <c r="J300" s="2" t="s">
        <v>2166</v>
      </c>
      <c r="K300" s="2">
        <f t="shared" si="12"/>
        <v>36</v>
      </c>
      <c r="L300" s="2" t="s">
        <v>1613</v>
      </c>
      <c r="M300" s="2"/>
      <c r="N300" s="7" t="s">
        <v>2167</v>
      </c>
      <c r="O300" s="2" t="s">
        <v>2168</v>
      </c>
      <c r="P300" s="8" t="s">
        <v>37</v>
      </c>
      <c r="Q300" s="8" t="s">
        <v>38</v>
      </c>
      <c r="R300" s="8" t="s">
        <v>38</v>
      </c>
      <c r="S300" s="11" t="s">
        <v>102</v>
      </c>
      <c r="T300" s="2" t="s">
        <v>2169</v>
      </c>
      <c r="U300" s="2">
        <v>34927385</v>
      </c>
      <c r="V300" s="2" t="s">
        <v>2170</v>
      </c>
      <c r="W300" s="2" t="s">
        <v>2171</v>
      </c>
      <c r="X300" s="2"/>
      <c r="Y300" s="2" t="s">
        <v>2172</v>
      </c>
      <c r="Z300" s="2" t="s">
        <v>42</v>
      </c>
      <c r="AA300" s="2" t="s">
        <v>1426</v>
      </c>
    </row>
    <row r="301" spans="1:27" x14ac:dyDescent="0.2">
      <c r="A301" s="2" t="s">
        <v>2173</v>
      </c>
      <c r="B301" s="24" t="s">
        <v>2174</v>
      </c>
      <c r="C301" s="24"/>
      <c r="D301" s="2"/>
      <c r="E301" s="15" t="s">
        <v>1770</v>
      </c>
      <c r="F301" s="2" t="s">
        <v>2175</v>
      </c>
      <c r="G301" s="2">
        <f t="shared" si="13"/>
        <v>89</v>
      </c>
      <c r="H301" s="2" t="s">
        <v>2176</v>
      </c>
      <c r="I301" s="2">
        <f t="shared" si="14"/>
        <v>35</v>
      </c>
      <c r="J301" s="2" t="s">
        <v>2177</v>
      </c>
      <c r="K301" s="2">
        <f t="shared" ref="K301:K321" si="15">LEN(J301)</f>
        <v>54</v>
      </c>
      <c r="L301" s="2" t="s">
        <v>71</v>
      </c>
      <c r="M301" s="2"/>
      <c r="N301" s="9" t="s">
        <v>579</v>
      </c>
      <c r="O301" s="8" t="s">
        <v>2178</v>
      </c>
      <c r="P301" s="8" t="s">
        <v>37</v>
      </c>
      <c r="Q301" s="8" t="s">
        <v>38</v>
      </c>
      <c r="R301" s="8" t="s">
        <v>38</v>
      </c>
      <c r="S301" s="2" t="s">
        <v>2179</v>
      </c>
      <c r="T301" s="2" t="s">
        <v>2180</v>
      </c>
      <c r="U301" s="2">
        <v>16569830</v>
      </c>
      <c r="V301" s="2"/>
      <c r="W301" s="2"/>
      <c r="X301" s="2"/>
      <c r="Y301" s="2" t="s">
        <v>2181</v>
      </c>
      <c r="Z301" s="2" t="s">
        <v>42</v>
      </c>
      <c r="AA301" s="2" t="s">
        <v>2182</v>
      </c>
    </row>
    <row r="302" spans="1:27" x14ac:dyDescent="0.2">
      <c r="A302" s="2" t="s">
        <v>2183</v>
      </c>
      <c r="B302" s="24" t="s">
        <v>2184</v>
      </c>
      <c r="C302" s="24"/>
      <c r="D302" s="2"/>
      <c r="E302" s="15" t="s">
        <v>1770</v>
      </c>
      <c r="F302" s="2" t="s">
        <v>2185</v>
      </c>
      <c r="G302" s="2">
        <f t="shared" si="13"/>
        <v>80</v>
      </c>
      <c r="H302" s="2" t="s">
        <v>2186</v>
      </c>
      <c r="I302" s="2">
        <f t="shared" si="14"/>
        <v>29</v>
      </c>
      <c r="J302" s="2" t="s">
        <v>2187</v>
      </c>
      <c r="K302" s="2">
        <f t="shared" si="15"/>
        <v>51</v>
      </c>
      <c r="L302" s="2" t="s">
        <v>33</v>
      </c>
      <c r="M302" s="2" t="s">
        <v>34</v>
      </c>
      <c r="N302" s="9" t="s">
        <v>559</v>
      </c>
      <c r="O302" s="8" t="s">
        <v>2188</v>
      </c>
      <c r="P302" s="8" t="s">
        <v>37</v>
      </c>
      <c r="Q302" s="8" t="s">
        <v>38</v>
      </c>
      <c r="R302" s="8" t="s">
        <v>38</v>
      </c>
      <c r="S302" s="11" t="s">
        <v>102</v>
      </c>
      <c r="T302" s="11" t="s">
        <v>102</v>
      </c>
      <c r="U302" s="2">
        <v>15232205</v>
      </c>
      <c r="V302" s="2"/>
      <c r="W302" s="2"/>
      <c r="X302" s="2"/>
      <c r="Y302" s="2" t="s">
        <v>2189</v>
      </c>
      <c r="Z302" s="2" t="s">
        <v>42</v>
      </c>
      <c r="AA302" s="2"/>
    </row>
    <row r="303" spans="1:27" x14ac:dyDescent="0.2">
      <c r="A303" s="2" t="s">
        <v>2190</v>
      </c>
      <c r="B303" s="24" t="s">
        <v>2191</v>
      </c>
      <c r="C303" s="24"/>
      <c r="D303" s="2"/>
      <c r="E303" s="15" t="s">
        <v>1770</v>
      </c>
      <c r="F303" s="2" t="s">
        <v>2192</v>
      </c>
      <c r="G303" s="2">
        <f t="shared" si="13"/>
        <v>76</v>
      </c>
      <c r="H303" s="2" t="s">
        <v>2193</v>
      </c>
      <c r="I303" s="2">
        <f t="shared" si="14"/>
        <v>23</v>
      </c>
      <c r="J303" s="2" t="s">
        <v>2194</v>
      </c>
      <c r="K303" s="2">
        <f t="shared" si="15"/>
        <v>53</v>
      </c>
      <c r="L303" s="2" t="s">
        <v>33</v>
      </c>
      <c r="M303" s="2" t="s">
        <v>34</v>
      </c>
      <c r="N303" s="9" t="s">
        <v>559</v>
      </c>
      <c r="O303" s="8" t="s">
        <v>841</v>
      </c>
      <c r="P303" s="8" t="s">
        <v>37</v>
      </c>
      <c r="Q303" s="8" t="s">
        <v>38</v>
      </c>
      <c r="R303" s="8" t="s">
        <v>38</v>
      </c>
      <c r="S303" s="11" t="s">
        <v>102</v>
      </c>
      <c r="T303" s="2" t="s">
        <v>2195</v>
      </c>
      <c r="U303" s="2">
        <v>22394465</v>
      </c>
      <c r="V303" s="2"/>
      <c r="W303" s="2" t="s">
        <v>2196</v>
      </c>
      <c r="X303" s="2"/>
      <c r="Y303" s="2" t="s">
        <v>2197</v>
      </c>
      <c r="Z303" s="2" t="s">
        <v>42</v>
      </c>
      <c r="AA303" s="2"/>
    </row>
    <row r="304" spans="1:27" x14ac:dyDescent="0.2">
      <c r="A304" s="2" t="s">
        <v>2198</v>
      </c>
      <c r="B304" s="24" t="s">
        <v>2199</v>
      </c>
      <c r="C304" s="24"/>
      <c r="D304" s="2"/>
      <c r="E304" s="15" t="s">
        <v>1770</v>
      </c>
      <c r="F304" s="2" t="s">
        <v>2200</v>
      </c>
      <c r="G304" s="2">
        <f t="shared" si="13"/>
        <v>83</v>
      </c>
      <c r="H304" s="2" t="s">
        <v>2201</v>
      </c>
      <c r="I304" s="2">
        <f t="shared" si="14"/>
        <v>18</v>
      </c>
      <c r="J304" s="2" t="s">
        <v>2202</v>
      </c>
      <c r="K304" s="2">
        <f t="shared" si="15"/>
        <v>65</v>
      </c>
      <c r="L304" s="2" t="s">
        <v>33</v>
      </c>
      <c r="M304" s="2" t="s">
        <v>34</v>
      </c>
      <c r="N304" s="2" t="s">
        <v>48</v>
      </c>
      <c r="O304" s="2" t="s">
        <v>2203</v>
      </c>
      <c r="P304" s="8" t="s">
        <v>37</v>
      </c>
      <c r="Q304" s="2" t="s">
        <v>38</v>
      </c>
      <c r="R304" s="2" t="s">
        <v>38</v>
      </c>
      <c r="S304" s="2" t="s">
        <v>2204</v>
      </c>
      <c r="T304" s="2" t="s">
        <v>2205</v>
      </c>
      <c r="U304" s="2">
        <v>32169940</v>
      </c>
      <c r="V304" s="2"/>
      <c r="W304" s="2"/>
      <c r="X304" s="2"/>
      <c r="Y304" s="2" t="s">
        <v>2206</v>
      </c>
      <c r="Z304" s="2" t="s">
        <v>452</v>
      </c>
      <c r="AA304" s="2"/>
    </row>
    <row r="305" spans="1:27" x14ac:dyDescent="0.2">
      <c r="A305" s="2" t="s">
        <v>2207</v>
      </c>
      <c r="B305" s="2" t="s">
        <v>2208</v>
      </c>
      <c r="C305" s="2" t="s">
        <v>2209</v>
      </c>
      <c r="D305" s="2"/>
      <c r="E305" s="15" t="s">
        <v>1770</v>
      </c>
      <c r="F305" s="2" t="s">
        <v>2210</v>
      </c>
      <c r="G305" s="2">
        <f t="shared" si="13"/>
        <v>47</v>
      </c>
      <c r="H305" s="2" t="s">
        <v>2211</v>
      </c>
      <c r="I305" s="2">
        <f t="shared" si="14"/>
        <v>21</v>
      </c>
      <c r="J305" s="2" t="s">
        <v>2212</v>
      </c>
      <c r="K305" s="2">
        <f t="shared" si="15"/>
        <v>26</v>
      </c>
      <c r="L305" s="2" t="s">
        <v>33</v>
      </c>
      <c r="M305" s="2" t="s">
        <v>34</v>
      </c>
      <c r="N305" s="2" t="s">
        <v>334</v>
      </c>
      <c r="O305" s="2" t="s">
        <v>2213</v>
      </c>
      <c r="P305" s="8" t="s">
        <v>37</v>
      </c>
      <c r="Q305" s="2" t="s">
        <v>38</v>
      </c>
      <c r="R305" s="2" t="s">
        <v>38</v>
      </c>
      <c r="S305" s="2"/>
      <c r="T305" s="2" t="s">
        <v>2214</v>
      </c>
      <c r="U305" s="2">
        <v>20154137</v>
      </c>
      <c r="V305" s="2"/>
      <c r="W305" s="2"/>
      <c r="X305" s="2"/>
      <c r="Y305" s="2" t="s">
        <v>2215</v>
      </c>
      <c r="Z305" s="2" t="s">
        <v>452</v>
      </c>
      <c r="AA305" s="2"/>
    </row>
    <row r="306" spans="1:27" x14ac:dyDescent="0.2">
      <c r="A306" s="2" t="s">
        <v>2216</v>
      </c>
      <c r="B306" s="2" t="s">
        <v>2208</v>
      </c>
      <c r="C306" s="2" t="s">
        <v>2217</v>
      </c>
      <c r="D306" s="2"/>
      <c r="E306" s="15" t="s">
        <v>1770</v>
      </c>
      <c r="F306" s="2" t="s">
        <v>2218</v>
      </c>
      <c r="G306" s="2">
        <f t="shared" ref="G306:G321" si="16">LEN(F306)</f>
        <v>54</v>
      </c>
      <c r="H306" s="2" t="s">
        <v>2219</v>
      </c>
      <c r="I306" s="2">
        <f t="shared" si="14"/>
        <v>22</v>
      </c>
      <c r="J306" s="2" t="s">
        <v>2220</v>
      </c>
      <c r="K306" s="2">
        <f t="shared" si="15"/>
        <v>32</v>
      </c>
      <c r="L306" s="2" t="s">
        <v>33</v>
      </c>
      <c r="M306" s="2" t="s">
        <v>34</v>
      </c>
      <c r="N306" s="2" t="s">
        <v>334</v>
      </c>
      <c r="O306" s="2" t="s">
        <v>2213</v>
      </c>
      <c r="P306" s="8" t="s">
        <v>37</v>
      </c>
      <c r="Q306" s="2" t="s">
        <v>38</v>
      </c>
      <c r="R306" s="2" t="s">
        <v>38</v>
      </c>
      <c r="S306" s="2"/>
      <c r="T306" s="2" t="s">
        <v>2214</v>
      </c>
      <c r="U306" s="2">
        <v>20154137</v>
      </c>
      <c r="V306" s="2"/>
      <c r="W306" s="2"/>
      <c r="X306" s="2"/>
      <c r="Y306" s="2" t="s">
        <v>2215</v>
      </c>
      <c r="Z306" s="2" t="s">
        <v>452</v>
      </c>
      <c r="AA306" s="2"/>
    </row>
    <row r="307" spans="1:27" x14ac:dyDescent="0.2">
      <c r="A307" s="2" t="s">
        <v>2221</v>
      </c>
      <c r="B307" s="24" t="s">
        <v>2222</v>
      </c>
      <c r="C307" s="24"/>
      <c r="D307" s="2"/>
      <c r="E307" s="15" t="s">
        <v>1609</v>
      </c>
      <c r="F307" s="2" t="s">
        <v>2223</v>
      </c>
      <c r="G307" s="8">
        <f t="shared" si="16"/>
        <v>131</v>
      </c>
      <c r="H307" s="2" t="s">
        <v>2224</v>
      </c>
      <c r="I307" s="2">
        <f t="shared" si="14"/>
        <v>23</v>
      </c>
      <c r="J307" s="2" t="s">
        <v>2225</v>
      </c>
      <c r="K307" s="2">
        <f t="shared" si="15"/>
        <v>108</v>
      </c>
      <c r="L307" s="2" t="s">
        <v>71</v>
      </c>
      <c r="M307" s="2"/>
      <c r="N307" s="9" t="s">
        <v>2226</v>
      </c>
      <c r="O307" s="8" t="s">
        <v>2227</v>
      </c>
      <c r="P307" s="8" t="s">
        <v>37</v>
      </c>
      <c r="Q307" s="8" t="s">
        <v>38</v>
      </c>
      <c r="R307" s="8" t="s">
        <v>634</v>
      </c>
      <c r="S307" s="11" t="s">
        <v>102</v>
      </c>
      <c r="T307" s="8" t="s">
        <v>2228</v>
      </c>
      <c r="U307" s="2">
        <v>31726031</v>
      </c>
      <c r="V307" s="2"/>
      <c r="W307" s="2"/>
      <c r="X307" s="2"/>
      <c r="Y307" s="2" t="s">
        <v>2229</v>
      </c>
      <c r="Z307" s="2" t="s">
        <v>42</v>
      </c>
      <c r="AA307" s="2" t="s">
        <v>2230</v>
      </c>
    </row>
    <row r="308" spans="1:27" x14ac:dyDescent="0.2">
      <c r="A308" s="2" t="s">
        <v>2231</v>
      </c>
      <c r="B308" s="24" t="s">
        <v>2232</v>
      </c>
      <c r="C308" s="24"/>
      <c r="D308" s="2"/>
      <c r="E308" s="6" t="s">
        <v>1770</v>
      </c>
      <c r="F308" s="8" t="s">
        <v>2233</v>
      </c>
      <c r="G308" s="8">
        <f t="shared" si="16"/>
        <v>59</v>
      </c>
      <c r="H308" s="2" t="s">
        <v>2234</v>
      </c>
      <c r="I308" s="2">
        <f t="shared" si="14"/>
        <v>18</v>
      </c>
      <c r="J308" s="2" t="s">
        <v>2235</v>
      </c>
      <c r="K308" s="2">
        <f t="shared" si="15"/>
        <v>41</v>
      </c>
      <c r="L308" s="2" t="s">
        <v>33</v>
      </c>
      <c r="M308" s="2" t="s">
        <v>34</v>
      </c>
      <c r="N308" s="9" t="s">
        <v>1178</v>
      </c>
      <c r="O308" s="8" t="s">
        <v>1179</v>
      </c>
      <c r="P308" s="8" t="s">
        <v>37</v>
      </c>
      <c r="Q308" s="8" t="s">
        <v>38</v>
      </c>
      <c r="R308" s="8" t="s">
        <v>38</v>
      </c>
      <c r="S308" s="2" t="s">
        <v>2236</v>
      </c>
      <c r="T308" s="8" t="s">
        <v>1181</v>
      </c>
      <c r="U308" s="2">
        <v>22739096</v>
      </c>
      <c r="V308" s="2"/>
      <c r="W308" s="2" t="s">
        <v>2237</v>
      </c>
      <c r="X308" s="2" t="s">
        <v>2238</v>
      </c>
      <c r="Y308" s="2" t="s">
        <v>1182</v>
      </c>
      <c r="Z308" s="2" t="s">
        <v>42</v>
      </c>
      <c r="AA308" s="2" t="s">
        <v>2239</v>
      </c>
    </row>
    <row r="309" spans="1:27" x14ac:dyDescent="0.2">
      <c r="A309" s="2" t="s">
        <v>2240</v>
      </c>
      <c r="B309" s="24" t="s">
        <v>2241</v>
      </c>
      <c r="C309" s="24"/>
      <c r="D309" s="2"/>
      <c r="E309" s="15" t="s">
        <v>1770</v>
      </c>
      <c r="F309" s="2" t="s">
        <v>2242</v>
      </c>
      <c r="G309" s="8">
        <f t="shared" si="16"/>
        <v>109</v>
      </c>
      <c r="H309" s="2" t="s">
        <v>2243</v>
      </c>
      <c r="I309" s="2">
        <f t="shared" si="14"/>
        <v>28</v>
      </c>
      <c r="J309" s="2" t="s">
        <v>2244</v>
      </c>
      <c r="K309" s="2">
        <f t="shared" si="15"/>
        <v>81</v>
      </c>
      <c r="L309" s="2" t="s">
        <v>71</v>
      </c>
      <c r="M309" s="2"/>
      <c r="N309" s="7" t="s">
        <v>511</v>
      </c>
      <c r="O309" s="2" t="s">
        <v>2245</v>
      </c>
      <c r="P309" s="8" t="s">
        <v>37</v>
      </c>
      <c r="Q309" s="8" t="s">
        <v>38</v>
      </c>
      <c r="R309" s="8" t="s">
        <v>38</v>
      </c>
      <c r="S309" s="2"/>
      <c r="T309" s="2" t="s">
        <v>2246</v>
      </c>
      <c r="U309" s="11" t="s">
        <v>102</v>
      </c>
      <c r="V309" s="2"/>
      <c r="W309" s="2"/>
      <c r="X309" s="2"/>
      <c r="Y309" s="2" t="s">
        <v>2247</v>
      </c>
      <c r="Z309" s="2" t="s">
        <v>452</v>
      </c>
      <c r="AA309" s="2" t="s">
        <v>2248</v>
      </c>
    </row>
    <row r="310" spans="1:27" x14ac:dyDescent="0.2">
      <c r="A310" s="2" t="s">
        <v>2249</v>
      </c>
      <c r="B310" s="24" t="s">
        <v>2250</v>
      </c>
      <c r="C310" s="24"/>
      <c r="D310" s="2"/>
      <c r="E310" s="15" t="s">
        <v>2251</v>
      </c>
      <c r="F310" s="2" t="s">
        <v>2252</v>
      </c>
      <c r="G310" s="8">
        <f t="shared" si="16"/>
        <v>22</v>
      </c>
      <c r="H310" s="2"/>
      <c r="I310" s="2">
        <f t="shared" si="14"/>
        <v>0</v>
      </c>
      <c r="J310" s="2" t="s">
        <v>2252</v>
      </c>
      <c r="K310" s="2">
        <f t="shared" si="15"/>
        <v>22</v>
      </c>
      <c r="L310" s="2" t="s">
        <v>450</v>
      </c>
      <c r="M310" s="2"/>
      <c r="N310" s="7" t="s">
        <v>2253</v>
      </c>
      <c r="O310" s="2" t="s">
        <v>2254</v>
      </c>
      <c r="P310" s="8" t="s">
        <v>37</v>
      </c>
      <c r="Q310" s="8" t="s">
        <v>634</v>
      </c>
      <c r="R310" s="8" t="s">
        <v>634</v>
      </c>
      <c r="S310" s="11" t="s">
        <v>102</v>
      </c>
      <c r="T310" s="2" t="s">
        <v>2255</v>
      </c>
      <c r="U310" s="2">
        <v>34697350</v>
      </c>
      <c r="V310" s="2"/>
      <c r="W310" s="2"/>
      <c r="X310" s="2"/>
      <c r="Y310" s="2" t="s">
        <v>2256</v>
      </c>
      <c r="Z310" s="2" t="s">
        <v>42</v>
      </c>
      <c r="AA310" s="2" t="s">
        <v>2257</v>
      </c>
    </row>
    <row r="311" spans="1:27" x14ac:dyDescent="0.2">
      <c r="A311" s="2" t="s">
        <v>2258</v>
      </c>
      <c r="B311" s="24" t="s">
        <v>2259</v>
      </c>
      <c r="C311" s="24"/>
      <c r="D311" s="2"/>
      <c r="E311" s="15" t="s">
        <v>2251</v>
      </c>
      <c r="F311" s="20" t="s">
        <v>2260</v>
      </c>
      <c r="G311" s="8">
        <f t="shared" si="16"/>
        <v>30</v>
      </c>
      <c r="H311" s="8"/>
      <c r="I311" s="2">
        <f t="shared" si="14"/>
        <v>0</v>
      </c>
      <c r="J311" s="21" t="s">
        <v>2260</v>
      </c>
      <c r="K311" s="2">
        <f t="shared" si="15"/>
        <v>30</v>
      </c>
      <c r="L311" s="2" t="s">
        <v>450</v>
      </c>
      <c r="M311" s="2"/>
      <c r="N311" s="9" t="s">
        <v>328</v>
      </c>
      <c r="O311" s="8" t="s">
        <v>2261</v>
      </c>
      <c r="P311" s="8" t="s">
        <v>37</v>
      </c>
      <c r="Q311" s="8" t="s">
        <v>634</v>
      </c>
      <c r="R311" s="8" t="s">
        <v>634</v>
      </c>
      <c r="S311" s="11" t="s">
        <v>102</v>
      </c>
      <c r="T311" s="2" t="s">
        <v>2262</v>
      </c>
      <c r="U311" s="2">
        <v>25862353</v>
      </c>
      <c r="V311" s="2"/>
      <c r="W311" s="2" t="s">
        <v>2263</v>
      </c>
      <c r="X311" s="2"/>
      <c r="Y311" s="2" t="s">
        <v>2264</v>
      </c>
      <c r="Z311" s="2" t="s">
        <v>42</v>
      </c>
      <c r="AA311" s="2" t="s">
        <v>2265</v>
      </c>
    </row>
    <row r="312" spans="1:27" x14ac:dyDescent="0.2">
      <c r="A312" s="2" t="s">
        <v>2266</v>
      </c>
      <c r="B312" s="24" t="s">
        <v>2267</v>
      </c>
      <c r="C312" s="24"/>
      <c r="D312" s="2"/>
      <c r="E312" s="15" t="s">
        <v>2251</v>
      </c>
      <c r="F312" s="8" t="s">
        <v>2268</v>
      </c>
      <c r="G312" s="8">
        <f t="shared" si="16"/>
        <v>62</v>
      </c>
      <c r="H312" s="8"/>
      <c r="I312" s="2">
        <f t="shared" si="14"/>
        <v>0</v>
      </c>
      <c r="J312" s="2" t="s">
        <v>2268</v>
      </c>
      <c r="K312" s="2">
        <f t="shared" si="15"/>
        <v>62</v>
      </c>
      <c r="L312" s="2" t="s">
        <v>450</v>
      </c>
      <c r="M312" s="2"/>
      <c r="N312" s="9" t="s">
        <v>633</v>
      </c>
      <c r="O312" s="8" t="s">
        <v>2269</v>
      </c>
      <c r="P312" s="8" t="s">
        <v>37</v>
      </c>
      <c r="Q312" s="8" t="s">
        <v>634</v>
      </c>
      <c r="R312" s="8" t="s">
        <v>634</v>
      </c>
      <c r="S312" s="11" t="s">
        <v>102</v>
      </c>
      <c r="T312" s="2" t="s">
        <v>2270</v>
      </c>
      <c r="U312" s="2">
        <v>18086839</v>
      </c>
      <c r="V312" s="2"/>
      <c r="W312" s="2" t="s">
        <v>2271</v>
      </c>
      <c r="X312" s="2"/>
      <c r="Y312" s="2" t="s">
        <v>2272</v>
      </c>
      <c r="Z312" s="2" t="s">
        <v>42</v>
      </c>
      <c r="AA312" s="2" t="s">
        <v>2273</v>
      </c>
    </row>
    <row r="313" spans="1:27" x14ac:dyDescent="0.2">
      <c r="A313" s="2" t="s">
        <v>2274</v>
      </c>
      <c r="B313" s="24" t="s">
        <v>2275</v>
      </c>
      <c r="C313" s="24"/>
      <c r="D313" s="2"/>
      <c r="E313" s="15" t="s">
        <v>2251</v>
      </c>
      <c r="F313" s="2" t="s">
        <v>2276</v>
      </c>
      <c r="G313" s="8">
        <f t="shared" si="16"/>
        <v>20</v>
      </c>
      <c r="H313" s="8"/>
      <c r="I313" s="2">
        <f t="shared" si="14"/>
        <v>0</v>
      </c>
      <c r="J313" s="2" t="s">
        <v>2276</v>
      </c>
      <c r="K313" s="2">
        <f t="shared" si="15"/>
        <v>20</v>
      </c>
      <c r="L313" s="2" t="s">
        <v>450</v>
      </c>
      <c r="M313" s="2"/>
      <c r="N313" s="9" t="s">
        <v>2277</v>
      </c>
      <c r="O313" s="8" t="s">
        <v>2278</v>
      </c>
      <c r="P313" s="8" t="s">
        <v>2030</v>
      </c>
      <c r="Q313" s="8" t="s">
        <v>634</v>
      </c>
      <c r="R313" s="8" t="s">
        <v>634</v>
      </c>
      <c r="S313" s="11" t="s">
        <v>102</v>
      </c>
      <c r="T313" s="2" t="s">
        <v>2279</v>
      </c>
      <c r="U313" s="2">
        <v>22497806</v>
      </c>
      <c r="V313" s="2"/>
      <c r="W313" s="2" t="s">
        <v>2280</v>
      </c>
      <c r="X313" s="2"/>
      <c r="Y313" s="2" t="s">
        <v>2281</v>
      </c>
      <c r="Z313" s="2" t="s">
        <v>42</v>
      </c>
      <c r="AA313" s="24" t="s">
        <v>2273</v>
      </c>
    </row>
    <row r="314" spans="1:27" x14ac:dyDescent="0.2">
      <c r="A314" s="2" t="s">
        <v>2282</v>
      </c>
      <c r="B314" s="24" t="s">
        <v>2283</v>
      </c>
      <c r="C314" s="24"/>
      <c r="D314" s="2"/>
      <c r="E314" s="15" t="s">
        <v>2251</v>
      </c>
      <c r="F314" s="2" t="s">
        <v>2284</v>
      </c>
      <c r="G314" s="8">
        <f t="shared" si="16"/>
        <v>19</v>
      </c>
      <c r="H314" s="8"/>
      <c r="I314" s="2">
        <f t="shared" si="14"/>
        <v>0</v>
      </c>
      <c r="J314" s="2" t="s">
        <v>2284</v>
      </c>
      <c r="K314" s="2">
        <f t="shared" si="15"/>
        <v>19</v>
      </c>
      <c r="L314" s="2" t="s">
        <v>450</v>
      </c>
      <c r="M314" s="2"/>
      <c r="N314" s="9" t="s">
        <v>2277</v>
      </c>
      <c r="O314" s="8" t="s">
        <v>2278</v>
      </c>
      <c r="P314" s="8" t="s">
        <v>2030</v>
      </c>
      <c r="Q314" s="8" t="s">
        <v>634</v>
      </c>
      <c r="R314" s="8" t="s">
        <v>634</v>
      </c>
      <c r="S314" s="11" t="s">
        <v>102</v>
      </c>
      <c r="T314" s="2" t="s">
        <v>2279</v>
      </c>
      <c r="U314" s="2">
        <v>22497806</v>
      </c>
      <c r="V314" s="2"/>
      <c r="W314" s="2" t="s">
        <v>2285</v>
      </c>
      <c r="X314" s="2"/>
      <c r="Y314" s="2" t="s">
        <v>2281</v>
      </c>
      <c r="Z314" s="2" t="s">
        <v>42</v>
      </c>
      <c r="AA314" s="24"/>
    </row>
    <row r="315" spans="1:27" x14ac:dyDescent="0.2">
      <c r="A315" s="2" t="s">
        <v>2286</v>
      </c>
      <c r="B315" s="24" t="s">
        <v>2287</v>
      </c>
      <c r="C315" s="24"/>
      <c r="D315" s="2"/>
      <c r="E315" s="15" t="s">
        <v>2251</v>
      </c>
      <c r="F315" s="2" t="s">
        <v>2288</v>
      </c>
      <c r="G315" s="8">
        <f t="shared" si="16"/>
        <v>45</v>
      </c>
      <c r="H315" s="8"/>
      <c r="I315" s="2">
        <f t="shared" si="14"/>
        <v>0</v>
      </c>
      <c r="J315" s="2" t="s">
        <v>2288</v>
      </c>
      <c r="K315" s="2">
        <f t="shared" si="15"/>
        <v>45</v>
      </c>
      <c r="L315" s="2" t="s">
        <v>450</v>
      </c>
      <c r="M315" s="2"/>
      <c r="N315" s="9" t="s">
        <v>2289</v>
      </c>
      <c r="O315" s="8" t="s">
        <v>2290</v>
      </c>
      <c r="P315" s="8" t="s">
        <v>2030</v>
      </c>
      <c r="Q315" s="8" t="s">
        <v>634</v>
      </c>
      <c r="R315" s="8" t="s">
        <v>634</v>
      </c>
      <c r="S315" s="11" t="s">
        <v>102</v>
      </c>
      <c r="T315" s="2" t="s">
        <v>2291</v>
      </c>
      <c r="U315" s="2">
        <v>6783114</v>
      </c>
      <c r="V315" s="2"/>
      <c r="W315" s="2" t="s">
        <v>2292</v>
      </c>
      <c r="X315" s="2"/>
      <c r="Y315" s="2" t="s">
        <v>2293</v>
      </c>
      <c r="Z315" s="2" t="s">
        <v>42</v>
      </c>
      <c r="AA315" s="2" t="s">
        <v>2273</v>
      </c>
    </row>
    <row r="316" spans="1:27" x14ac:dyDescent="0.2">
      <c r="A316" s="2" t="s">
        <v>2294</v>
      </c>
      <c r="B316" s="24" t="s">
        <v>2295</v>
      </c>
      <c r="C316" s="24"/>
      <c r="D316" s="2"/>
      <c r="E316" s="15" t="s">
        <v>2251</v>
      </c>
      <c r="F316" s="8" t="s">
        <v>2296</v>
      </c>
      <c r="G316" s="2">
        <f t="shared" si="16"/>
        <v>47</v>
      </c>
      <c r="H316" s="2"/>
      <c r="I316" s="2">
        <f t="shared" si="14"/>
        <v>0</v>
      </c>
      <c r="J316" s="2" t="s">
        <v>2296</v>
      </c>
      <c r="K316" s="2">
        <f t="shared" si="15"/>
        <v>47</v>
      </c>
      <c r="L316" s="2" t="s">
        <v>450</v>
      </c>
      <c r="M316" s="2"/>
      <c r="N316" s="9" t="s">
        <v>2297</v>
      </c>
      <c r="O316" s="8" t="s">
        <v>2298</v>
      </c>
      <c r="P316" s="8" t="s">
        <v>37</v>
      </c>
      <c r="Q316" s="8" t="s">
        <v>634</v>
      </c>
      <c r="R316" s="8" t="s">
        <v>634</v>
      </c>
      <c r="S316" s="11" t="s">
        <v>102</v>
      </c>
      <c r="T316" s="2" t="s">
        <v>2299</v>
      </c>
      <c r="U316" s="2">
        <v>21449609</v>
      </c>
      <c r="V316" s="2"/>
      <c r="W316" s="2" t="s">
        <v>2300</v>
      </c>
      <c r="X316" s="2"/>
      <c r="Y316" s="2" t="s">
        <v>2301</v>
      </c>
      <c r="Z316" s="2" t="s">
        <v>42</v>
      </c>
      <c r="AA316" s="2" t="s">
        <v>2302</v>
      </c>
    </row>
    <row r="317" spans="1:27" x14ac:dyDescent="0.2">
      <c r="A317" s="2" t="s">
        <v>2303</v>
      </c>
      <c r="B317" s="24" t="s">
        <v>2184</v>
      </c>
      <c r="C317" s="24"/>
      <c r="D317" s="2"/>
      <c r="E317" s="15" t="s">
        <v>2251</v>
      </c>
      <c r="F317" s="8" t="s">
        <v>2304</v>
      </c>
      <c r="G317" s="8">
        <f t="shared" si="16"/>
        <v>49</v>
      </c>
      <c r="H317" s="8"/>
      <c r="I317" s="2">
        <f t="shared" si="14"/>
        <v>0</v>
      </c>
      <c r="J317" s="2" t="s">
        <v>2304</v>
      </c>
      <c r="K317" s="2">
        <f t="shared" si="15"/>
        <v>49</v>
      </c>
      <c r="L317" s="2" t="s">
        <v>450</v>
      </c>
      <c r="M317" s="2"/>
      <c r="N317" s="9" t="s">
        <v>559</v>
      </c>
      <c r="O317" s="8" t="s">
        <v>2188</v>
      </c>
      <c r="P317" s="8" t="s">
        <v>37</v>
      </c>
      <c r="Q317" s="8" t="s">
        <v>634</v>
      </c>
      <c r="R317" s="8" t="s">
        <v>634</v>
      </c>
      <c r="S317" s="11" t="s">
        <v>102</v>
      </c>
      <c r="T317" s="2" t="s">
        <v>2305</v>
      </c>
      <c r="U317" s="2">
        <v>10650221</v>
      </c>
      <c r="V317" s="2"/>
      <c r="W317" s="2"/>
      <c r="X317" s="2"/>
      <c r="Y317" s="2" t="s">
        <v>2306</v>
      </c>
      <c r="Z317" s="2" t="s">
        <v>42</v>
      </c>
      <c r="AA317" s="2" t="s">
        <v>2307</v>
      </c>
    </row>
    <row r="318" spans="1:27" x14ac:dyDescent="0.2">
      <c r="A318" s="2" t="s">
        <v>2308</v>
      </c>
      <c r="B318" s="24" t="s">
        <v>2309</v>
      </c>
      <c r="C318" s="24"/>
      <c r="D318" s="2"/>
      <c r="E318" s="15" t="s">
        <v>2251</v>
      </c>
      <c r="F318" s="8" t="s">
        <v>2310</v>
      </c>
      <c r="G318" s="8">
        <f t="shared" si="16"/>
        <v>44</v>
      </c>
      <c r="H318" s="8"/>
      <c r="I318" s="2">
        <f>LEN(H318)</f>
        <v>0</v>
      </c>
      <c r="J318" s="8"/>
      <c r="K318" s="2">
        <f>LEN(J318)</f>
        <v>0</v>
      </c>
      <c r="L318" s="2" t="s">
        <v>450</v>
      </c>
      <c r="M318" s="2"/>
      <c r="N318" s="9" t="s">
        <v>788</v>
      </c>
      <c r="O318" s="8" t="s">
        <v>2311</v>
      </c>
      <c r="P318" s="8" t="s">
        <v>37</v>
      </c>
      <c r="Q318" s="8" t="s">
        <v>634</v>
      </c>
      <c r="R318" s="8" t="s">
        <v>634</v>
      </c>
      <c r="S318" s="11" t="s">
        <v>102</v>
      </c>
      <c r="T318" s="2" t="s">
        <v>2312</v>
      </c>
      <c r="U318" s="2">
        <v>14532021</v>
      </c>
      <c r="V318" s="2"/>
      <c r="W318" s="2"/>
      <c r="X318" s="2"/>
      <c r="Y318" s="2" t="s">
        <v>2313</v>
      </c>
      <c r="Z318" s="2" t="s">
        <v>42</v>
      </c>
      <c r="AA318" s="2" t="s">
        <v>2314</v>
      </c>
    </row>
    <row r="319" spans="1:27" x14ac:dyDescent="0.2">
      <c r="A319" s="2" t="s">
        <v>2315</v>
      </c>
      <c r="B319" s="24" t="s">
        <v>2316</v>
      </c>
      <c r="C319" s="24"/>
      <c r="D319" s="2"/>
      <c r="E319" s="15" t="s">
        <v>2251</v>
      </c>
      <c r="F319" s="8" t="s">
        <v>2317</v>
      </c>
      <c r="G319" s="8">
        <f t="shared" si="16"/>
        <v>35</v>
      </c>
      <c r="H319" s="8"/>
      <c r="I319" s="2">
        <f>LEN(H319)</f>
        <v>0</v>
      </c>
      <c r="J319" s="8"/>
      <c r="K319" s="2">
        <f>LEN(J319)</f>
        <v>0</v>
      </c>
      <c r="L319" s="2" t="s">
        <v>450</v>
      </c>
      <c r="M319" s="2"/>
      <c r="N319" s="9" t="s">
        <v>1910</v>
      </c>
      <c r="O319" s="8" t="s">
        <v>691</v>
      </c>
      <c r="P319" s="8" t="s">
        <v>37</v>
      </c>
      <c r="Q319" s="8" t="s">
        <v>634</v>
      </c>
      <c r="R319" s="8" t="s">
        <v>634</v>
      </c>
      <c r="S319" s="2" t="s">
        <v>2318</v>
      </c>
      <c r="T319" s="2" t="s">
        <v>2319</v>
      </c>
      <c r="U319" s="2">
        <v>10517609</v>
      </c>
      <c r="V319" s="2"/>
      <c r="W319" s="2"/>
      <c r="X319" s="2"/>
      <c r="Y319" s="2" t="s">
        <v>2320</v>
      </c>
      <c r="Z319" s="2" t="s">
        <v>42</v>
      </c>
      <c r="AA319" s="2" t="s">
        <v>2321</v>
      </c>
    </row>
    <row r="320" spans="1:27" x14ac:dyDescent="0.2">
      <c r="A320" s="2" t="s">
        <v>2322</v>
      </c>
      <c r="B320" s="24" t="s">
        <v>2323</v>
      </c>
      <c r="C320" s="24"/>
      <c r="D320" s="2"/>
      <c r="E320" s="15" t="s">
        <v>2251</v>
      </c>
      <c r="F320" s="8" t="s">
        <v>2324</v>
      </c>
      <c r="G320" s="8">
        <f t="shared" si="16"/>
        <v>28</v>
      </c>
      <c r="H320" s="8"/>
      <c r="I320" s="2">
        <f t="shared" si="14"/>
        <v>0</v>
      </c>
      <c r="J320" s="8"/>
      <c r="K320" s="2">
        <f t="shared" si="15"/>
        <v>0</v>
      </c>
      <c r="L320" s="2" t="s">
        <v>450</v>
      </c>
      <c r="M320" s="2"/>
      <c r="N320" s="9" t="s">
        <v>1806</v>
      </c>
      <c r="O320" s="8" t="s">
        <v>2325</v>
      </c>
      <c r="P320" s="8" t="s">
        <v>37</v>
      </c>
      <c r="Q320" s="8" t="s">
        <v>634</v>
      </c>
      <c r="R320" s="8" t="s">
        <v>634</v>
      </c>
      <c r="S320" s="11" t="s">
        <v>102</v>
      </c>
      <c r="T320" s="2" t="s">
        <v>2326</v>
      </c>
      <c r="U320" s="2">
        <v>15892738</v>
      </c>
      <c r="V320" s="2"/>
      <c r="W320" s="2"/>
      <c r="X320" s="2"/>
      <c r="Y320" s="2" t="s">
        <v>2327</v>
      </c>
      <c r="Z320" s="2" t="s">
        <v>42</v>
      </c>
      <c r="AA320" s="2" t="s">
        <v>2328</v>
      </c>
    </row>
    <row r="321" spans="1:27" x14ac:dyDescent="0.2">
      <c r="A321" s="2" t="s">
        <v>2329</v>
      </c>
      <c r="B321" s="24" t="s">
        <v>2330</v>
      </c>
      <c r="C321" s="24"/>
      <c r="D321" s="2"/>
      <c r="E321" s="15" t="s">
        <v>2251</v>
      </c>
      <c r="F321" s="2" t="s">
        <v>2331</v>
      </c>
      <c r="G321" s="8">
        <f t="shared" si="16"/>
        <v>13</v>
      </c>
      <c r="H321" s="2"/>
      <c r="I321" s="2">
        <f t="shared" si="14"/>
        <v>0</v>
      </c>
      <c r="J321" s="2"/>
      <c r="K321" s="2">
        <f t="shared" si="15"/>
        <v>0</v>
      </c>
      <c r="L321" s="2" t="s">
        <v>450</v>
      </c>
      <c r="M321" s="2"/>
      <c r="N321" s="7" t="s">
        <v>2332</v>
      </c>
      <c r="O321" s="2">
        <v>68</v>
      </c>
      <c r="P321" s="8" t="s">
        <v>37</v>
      </c>
      <c r="Q321" s="8" t="s">
        <v>634</v>
      </c>
      <c r="R321" s="8" t="s">
        <v>634</v>
      </c>
      <c r="S321" s="11" t="s">
        <v>102</v>
      </c>
      <c r="T321" s="2" t="s">
        <v>2333</v>
      </c>
      <c r="U321" s="2">
        <v>19796123</v>
      </c>
      <c r="V321" s="2"/>
      <c r="W321" s="2" t="s">
        <v>2334</v>
      </c>
      <c r="X321" s="2"/>
      <c r="Y321" s="2" t="s">
        <v>2335</v>
      </c>
      <c r="Z321" s="2" t="s">
        <v>42</v>
      </c>
      <c r="AA321" s="2" t="s">
        <v>2336</v>
      </c>
    </row>
    <row r="322" spans="1:27" x14ac:dyDescent="0.2">
      <c r="A322" s="2" t="s">
        <v>2337</v>
      </c>
      <c r="B322" s="2" t="s">
        <v>2338</v>
      </c>
      <c r="C322" s="2"/>
      <c r="D322" s="2"/>
      <c r="E322" s="2" t="s">
        <v>1770</v>
      </c>
      <c r="F322" s="2" t="s">
        <v>2339</v>
      </c>
      <c r="G322" s="2">
        <v>52</v>
      </c>
      <c r="H322" s="2" t="s">
        <v>2340</v>
      </c>
      <c r="I322" s="2">
        <v>23</v>
      </c>
      <c r="J322" s="2" t="s">
        <v>2341</v>
      </c>
      <c r="K322" s="2">
        <v>29</v>
      </c>
      <c r="L322" s="2" t="s">
        <v>33</v>
      </c>
      <c r="M322" s="2"/>
      <c r="N322" s="7" t="s">
        <v>2342</v>
      </c>
      <c r="O322" s="2" t="s">
        <v>2343</v>
      </c>
      <c r="P322" s="2" t="s">
        <v>37</v>
      </c>
      <c r="Q322" s="2" t="s">
        <v>42</v>
      </c>
      <c r="R322" s="2" t="s">
        <v>42</v>
      </c>
      <c r="S322" s="2"/>
      <c r="T322" s="2" t="s">
        <v>2344</v>
      </c>
      <c r="U322" s="2">
        <v>39543239</v>
      </c>
      <c r="V322" s="2"/>
      <c r="W322" s="2"/>
      <c r="X322" s="2"/>
      <c r="Y322" s="2" t="s">
        <v>2345</v>
      </c>
      <c r="Z322" s="2" t="s">
        <v>452</v>
      </c>
      <c r="AA322" s="2"/>
    </row>
    <row r="323" spans="1:27" x14ac:dyDescent="0.2">
      <c r="A323" s="2" t="s">
        <v>2346</v>
      </c>
      <c r="B323" s="2" t="s">
        <v>2347</v>
      </c>
      <c r="C323" s="2"/>
      <c r="D323" s="2"/>
      <c r="E323" s="2" t="s">
        <v>1770</v>
      </c>
      <c r="F323" s="2" t="s">
        <v>2348</v>
      </c>
      <c r="G323" s="2">
        <v>76</v>
      </c>
      <c r="H323" s="2" t="s">
        <v>2349</v>
      </c>
      <c r="I323" s="2">
        <v>23</v>
      </c>
      <c r="J323" s="2" t="s">
        <v>2350</v>
      </c>
      <c r="K323" s="2">
        <v>53</v>
      </c>
      <c r="L323" s="2" t="s">
        <v>33</v>
      </c>
      <c r="M323" s="2"/>
      <c r="N323" s="7" t="s">
        <v>2342</v>
      </c>
      <c r="O323" s="2" t="s">
        <v>2343</v>
      </c>
      <c r="P323" s="2" t="s">
        <v>37</v>
      </c>
      <c r="Q323" s="2" t="s">
        <v>42</v>
      </c>
      <c r="R323" s="2" t="s">
        <v>42</v>
      </c>
      <c r="S323" s="2"/>
      <c r="T323" s="2" t="s">
        <v>2344</v>
      </c>
      <c r="U323" s="2">
        <v>39543239</v>
      </c>
      <c r="V323" s="2"/>
      <c r="W323" s="2"/>
      <c r="X323" s="2"/>
      <c r="Y323" s="2" t="s">
        <v>2345</v>
      </c>
      <c r="Z323" s="2" t="s">
        <v>452</v>
      </c>
      <c r="AA323" s="2"/>
    </row>
    <row r="324" spans="1:27" x14ac:dyDescent="0.2">
      <c r="A324" s="2" t="s">
        <v>2351</v>
      </c>
      <c r="B324" s="2" t="s">
        <v>2352</v>
      </c>
      <c r="C324" s="2" t="s">
        <v>2353</v>
      </c>
      <c r="D324" s="2"/>
      <c r="E324" s="2" t="s">
        <v>1099</v>
      </c>
      <c r="F324" s="2" t="s">
        <v>2354</v>
      </c>
      <c r="G324" s="2">
        <v>77</v>
      </c>
      <c r="H324" s="2" t="s">
        <v>2349</v>
      </c>
      <c r="I324" s="2">
        <v>23</v>
      </c>
      <c r="J324" s="2" t="s">
        <v>2355</v>
      </c>
      <c r="K324" s="2">
        <v>54</v>
      </c>
      <c r="L324" s="2" t="s">
        <v>33</v>
      </c>
      <c r="M324" s="2"/>
      <c r="N324" s="7" t="s">
        <v>2342</v>
      </c>
      <c r="O324" s="2" t="s">
        <v>2356</v>
      </c>
      <c r="P324" s="2" t="s">
        <v>37</v>
      </c>
      <c r="Q324" s="2" t="s">
        <v>42</v>
      </c>
      <c r="R324" s="2" t="s">
        <v>42</v>
      </c>
      <c r="S324" s="2"/>
      <c r="T324" s="2" t="s">
        <v>2344</v>
      </c>
      <c r="U324" s="2">
        <v>39543239</v>
      </c>
      <c r="V324" s="2"/>
      <c r="W324" s="2"/>
      <c r="X324" s="2"/>
      <c r="Y324" s="2" t="s">
        <v>2345</v>
      </c>
      <c r="Z324" s="2" t="s">
        <v>452</v>
      </c>
      <c r="AA324" s="2"/>
    </row>
    <row r="325" spans="1:27" x14ac:dyDescent="0.2">
      <c r="A325" s="2" t="s">
        <v>2357</v>
      </c>
      <c r="B325" s="2"/>
      <c r="C325" s="2" t="s">
        <v>2358</v>
      </c>
      <c r="D325" s="2"/>
      <c r="E325" s="2" t="s">
        <v>1099</v>
      </c>
      <c r="F325" s="2" t="s">
        <v>2359</v>
      </c>
      <c r="G325" s="2">
        <v>62</v>
      </c>
      <c r="H325" s="2" t="s">
        <v>2360</v>
      </c>
      <c r="I325" s="2">
        <v>20</v>
      </c>
      <c r="J325" s="2" t="s">
        <v>2361</v>
      </c>
      <c r="K325" s="2">
        <v>42</v>
      </c>
      <c r="L325" s="2" t="s">
        <v>33</v>
      </c>
      <c r="M325" s="2"/>
      <c r="N325" s="7" t="s">
        <v>2342</v>
      </c>
      <c r="O325" s="2" t="s">
        <v>2356</v>
      </c>
      <c r="P325" s="2" t="s">
        <v>37</v>
      </c>
      <c r="Q325" s="2" t="s">
        <v>42</v>
      </c>
      <c r="R325" s="2" t="s">
        <v>42</v>
      </c>
      <c r="S325" s="2"/>
      <c r="T325" s="2" t="s">
        <v>2344</v>
      </c>
      <c r="U325" s="2">
        <v>39543239</v>
      </c>
      <c r="V325" s="2"/>
      <c r="W325" s="2"/>
      <c r="X325" s="2"/>
      <c r="Y325" s="2" t="s">
        <v>2345</v>
      </c>
      <c r="Z325" s="2" t="s">
        <v>452</v>
      </c>
      <c r="AA325" s="2"/>
    </row>
    <row r="326" spans="1:27" x14ac:dyDescent="0.2">
      <c r="A326" s="2" t="s">
        <v>2362</v>
      </c>
      <c r="B326" s="2" t="s">
        <v>2363</v>
      </c>
      <c r="C326" s="2" t="s">
        <v>2364</v>
      </c>
      <c r="D326" s="2"/>
      <c r="E326" s="2" t="s">
        <v>1099</v>
      </c>
      <c r="F326" s="2" t="s">
        <v>2365</v>
      </c>
      <c r="G326" s="2">
        <v>49</v>
      </c>
      <c r="H326" s="2" t="s">
        <v>2366</v>
      </c>
      <c r="I326" s="2">
        <v>19</v>
      </c>
      <c r="J326" s="2" t="s">
        <v>2367</v>
      </c>
      <c r="K326" s="2">
        <v>30</v>
      </c>
      <c r="L326" s="2" t="s">
        <v>33</v>
      </c>
      <c r="M326" s="2"/>
      <c r="N326" s="7" t="s">
        <v>2342</v>
      </c>
      <c r="O326" s="2" t="s">
        <v>2368</v>
      </c>
      <c r="P326" s="2" t="s">
        <v>37</v>
      </c>
      <c r="Q326" s="2" t="s">
        <v>42</v>
      </c>
      <c r="R326" s="2" t="s">
        <v>42</v>
      </c>
      <c r="S326" s="2"/>
      <c r="T326" s="2" t="s">
        <v>2344</v>
      </c>
      <c r="U326" s="2">
        <v>39543239</v>
      </c>
      <c r="V326" s="2"/>
      <c r="W326" s="2"/>
      <c r="X326" s="2"/>
      <c r="Y326" s="2" t="s">
        <v>2345</v>
      </c>
      <c r="Z326" s="2" t="s">
        <v>452</v>
      </c>
      <c r="AA326" s="2"/>
    </row>
    <row r="327" spans="1:27" x14ac:dyDescent="0.2">
      <c r="A327" s="2" t="s">
        <v>2369</v>
      </c>
      <c r="B327" s="2"/>
      <c r="C327" s="2" t="s">
        <v>2370</v>
      </c>
      <c r="D327" s="2"/>
      <c r="E327" s="2" t="s">
        <v>1099</v>
      </c>
      <c r="F327" s="2" t="s">
        <v>2371</v>
      </c>
      <c r="G327" s="2">
        <v>50</v>
      </c>
      <c r="H327" s="2" t="s">
        <v>2372</v>
      </c>
      <c r="I327" s="2">
        <v>23</v>
      </c>
      <c r="J327" s="2" t="s">
        <v>2373</v>
      </c>
      <c r="K327" s="2">
        <v>27</v>
      </c>
      <c r="L327" s="2" t="s">
        <v>33</v>
      </c>
      <c r="M327" s="2"/>
      <c r="N327" s="7" t="s">
        <v>2342</v>
      </c>
      <c r="O327" s="2" t="s">
        <v>2368</v>
      </c>
      <c r="P327" s="2" t="s">
        <v>37</v>
      </c>
      <c r="Q327" s="2" t="s">
        <v>42</v>
      </c>
      <c r="R327" s="2" t="s">
        <v>42</v>
      </c>
      <c r="S327" s="2"/>
      <c r="T327" s="2" t="s">
        <v>2344</v>
      </c>
      <c r="U327" s="2">
        <v>39543239</v>
      </c>
      <c r="V327" s="2"/>
      <c r="W327" s="2"/>
      <c r="X327" s="2"/>
      <c r="Y327" s="2" t="s">
        <v>2345</v>
      </c>
      <c r="Z327" s="2" t="s">
        <v>452</v>
      </c>
      <c r="AA327" s="2"/>
    </row>
    <row r="328" spans="1:27" x14ac:dyDescent="0.2">
      <c r="A328" s="2" t="s">
        <v>2374</v>
      </c>
      <c r="B328" s="2" t="s">
        <v>2375</v>
      </c>
      <c r="C328" s="2" t="s">
        <v>2376</v>
      </c>
      <c r="D328" s="2"/>
      <c r="E328" s="2" t="s">
        <v>1099</v>
      </c>
      <c r="F328" s="2" t="s">
        <v>2377</v>
      </c>
      <c r="G328" s="2">
        <v>64</v>
      </c>
      <c r="H328" s="2" t="s">
        <v>2378</v>
      </c>
      <c r="I328" s="2">
        <v>24</v>
      </c>
      <c r="J328" s="2" t="s">
        <v>2379</v>
      </c>
      <c r="K328" s="2">
        <v>40</v>
      </c>
      <c r="L328" s="2" t="s">
        <v>33</v>
      </c>
      <c r="M328" s="2"/>
      <c r="N328" s="7" t="s">
        <v>2342</v>
      </c>
      <c r="O328" s="2" t="s">
        <v>2368</v>
      </c>
      <c r="P328" s="2" t="s">
        <v>37</v>
      </c>
      <c r="Q328" s="2" t="s">
        <v>42</v>
      </c>
      <c r="R328" s="2" t="s">
        <v>42</v>
      </c>
      <c r="S328" s="2"/>
      <c r="T328" s="2" t="s">
        <v>2344</v>
      </c>
      <c r="U328" s="2">
        <v>39543239</v>
      </c>
      <c r="V328" s="2"/>
      <c r="W328" s="2"/>
      <c r="X328" s="2"/>
      <c r="Y328" s="2" t="s">
        <v>2345</v>
      </c>
      <c r="Z328" s="2" t="s">
        <v>452</v>
      </c>
      <c r="AA328" s="2"/>
    </row>
    <row r="329" spans="1:27" x14ac:dyDescent="0.2">
      <c r="A329" s="2" t="s">
        <v>2380</v>
      </c>
      <c r="B329" s="2"/>
      <c r="C329" s="2" t="s">
        <v>2381</v>
      </c>
      <c r="D329" s="2"/>
      <c r="E329" s="2" t="s">
        <v>1099</v>
      </c>
      <c r="F329" s="2" t="s">
        <v>2382</v>
      </c>
      <c r="G329" s="2">
        <v>51</v>
      </c>
      <c r="H329" s="2" t="s">
        <v>2383</v>
      </c>
      <c r="I329" s="2">
        <v>18</v>
      </c>
      <c r="J329" s="2" t="s">
        <v>2384</v>
      </c>
      <c r="K329" s="2">
        <v>33</v>
      </c>
      <c r="L329" s="2" t="s">
        <v>33</v>
      </c>
      <c r="M329" s="2"/>
      <c r="N329" s="7" t="s">
        <v>2342</v>
      </c>
      <c r="O329" s="2" t="s">
        <v>2368</v>
      </c>
      <c r="P329" s="2" t="s">
        <v>37</v>
      </c>
      <c r="Q329" s="2" t="s">
        <v>42</v>
      </c>
      <c r="R329" s="2" t="s">
        <v>42</v>
      </c>
      <c r="S329" s="2"/>
      <c r="T329" s="2" t="s">
        <v>2344</v>
      </c>
      <c r="U329" s="2">
        <v>39543239</v>
      </c>
      <c r="V329" s="2"/>
      <c r="W329" s="2"/>
      <c r="X329" s="2"/>
      <c r="Y329" s="2" t="s">
        <v>2345</v>
      </c>
      <c r="Z329" s="2" t="s">
        <v>452</v>
      </c>
      <c r="AA329" s="2"/>
    </row>
    <row r="330" spans="1:27" x14ac:dyDescent="0.2">
      <c r="A330" s="2" t="s">
        <v>2385</v>
      </c>
      <c r="B330" s="2" t="s">
        <v>2386</v>
      </c>
      <c r="C330" s="2" t="s">
        <v>2387</v>
      </c>
      <c r="D330" s="2"/>
      <c r="E330" s="2" t="s">
        <v>1099</v>
      </c>
      <c r="F330" s="2" t="s">
        <v>2388</v>
      </c>
      <c r="G330" s="2">
        <v>52</v>
      </c>
      <c r="H330" s="2" t="s">
        <v>2389</v>
      </c>
      <c r="I330" s="2">
        <v>17</v>
      </c>
      <c r="J330" s="2" t="s">
        <v>2390</v>
      </c>
      <c r="K330" s="2">
        <v>35</v>
      </c>
      <c r="L330" s="2" t="s">
        <v>33</v>
      </c>
      <c r="M330" s="2"/>
      <c r="N330" s="7" t="s">
        <v>2342</v>
      </c>
      <c r="O330" s="2" t="s">
        <v>2391</v>
      </c>
      <c r="P330" s="2" t="s">
        <v>37</v>
      </c>
      <c r="Q330" s="2" t="s">
        <v>42</v>
      </c>
      <c r="R330" s="2" t="s">
        <v>42</v>
      </c>
      <c r="S330" s="2"/>
      <c r="T330" s="2" t="s">
        <v>2344</v>
      </c>
      <c r="U330" s="2">
        <v>39543239</v>
      </c>
      <c r="V330" s="2"/>
      <c r="W330" s="2"/>
      <c r="X330" s="2"/>
      <c r="Y330" s="2" t="s">
        <v>2345</v>
      </c>
      <c r="Z330" s="2" t="s">
        <v>452</v>
      </c>
      <c r="AA330" s="2"/>
    </row>
    <row r="331" spans="1:27" x14ac:dyDescent="0.2">
      <c r="A331" s="2" t="s">
        <v>2392</v>
      </c>
      <c r="B331" s="2"/>
      <c r="C331" s="2" t="s">
        <v>2393</v>
      </c>
      <c r="D331" s="2"/>
      <c r="E331" s="2" t="s">
        <v>1099</v>
      </c>
      <c r="F331" s="2" t="s">
        <v>2394</v>
      </c>
      <c r="G331" s="2">
        <v>55</v>
      </c>
      <c r="H331" s="2" t="s">
        <v>2395</v>
      </c>
      <c r="I331" s="2">
        <v>22</v>
      </c>
      <c r="J331" s="2" t="s">
        <v>2396</v>
      </c>
      <c r="K331" s="2">
        <v>33</v>
      </c>
      <c r="L331" s="2" t="s">
        <v>33</v>
      </c>
      <c r="M331" s="2"/>
      <c r="N331" s="7" t="s">
        <v>2342</v>
      </c>
      <c r="O331" s="2" t="s">
        <v>2391</v>
      </c>
      <c r="P331" s="2" t="s">
        <v>37</v>
      </c>
      <c r="Q331" s="2" t="s">
        <v>42</v>
      </c>
      <c r="R331" s="2" t="s">
        <v>42</v>
      </c>
      <c r="S331" s="2"/>
      <c r="T331" s="2" t="s">
        <v>2344</v>
      </c>
      <c r="U331" s="2">
        <v>39543239</v>
      </c>
      <c r="V331" s="2"/>
      <c r="W331" s="2"/>
      <c r="X331" s="2"/>
      <c r="Y331" s="2" t="s">
        <v>2345</v>
      </c>
      <c r="Z331" s="2" t="s">
        <v>452</v>
      </c>
      <c r="AA331" s="2"/>
    </row>
    <row r="332" spans="1:27" x14ac:dyDescent="0.2">
      <c r="A332" s="2" t="s">
        <v>2397</v>
      </c>
      <c r="B332" s="2" t="s">
        <v>2398</v>
      </c>
      <c r="C332" s="2"/>
      <c r="D332" s="2"/>
      <c r="E332" s="2" t="s">
        <v>1770</v>
      </c>
      <c r="F332" s="2" t="s">
        <v>2399</v>
      </c>
      <c r="G332" s="2">
        <v>78</v>
      </c>
      <c r="H332" s="2" t="s">
        <v>2400</v>
      </c>
      <c r="I332" s="2">
        <v>23</v>
      </c>
      <c r="J332" s="2" t="s">
        <v>2401</v>
      </c>
      <c r="K332" s="2">
        <v>55</v>
      </c>
      <c r="L332" s="2" t="s">
        <v>33</v>
      </c>
      <c r="M332" s="2"/>
      <c r="N332" s="7" t="s">
        <v>2342</v>
      </c>
      <c r="O332" s="2" t="s">
        <v>2391</v>
      </c>
      <c r="P332" s="2" t="s">
        <v>37</v>
      </c>
      <c r="Q332" s="2" t="s">
        <v>42</v>
      </c>
      <c r="R332" s="2" t="s">
        <v>42</v>
      </c>
      <c r="S332" s="2"/>
      <c r="T332" s="2" t="s">
        <v>2344</v>
      </c>
      <c r="U332" s="2">
        <v>39543239</v>
      </c>
      <c r="V332" s="2"/>
      <c r="W332" s="2"/>
      <c r="X332" s="2"/>
      <c r="Y332" s="2" t="s">
        <v>2345</v>
      </c>
      <c r="Z332" s="2" t="s">
        <v>452</v>
      </c>
      <c r="AA332" s="2"/>
    </row>
    <row r="333" spans="1:27" x14ac:dyDescent="0.2">
      <c r="A333" s="2" t="s">
        <v>2402</v>
      </c>
      <c r="B333" s="2" t="s">
        <v>2403</v>
      </c>
      <c r="C333" s="2"/>
      <c r="D333" s="2"/>
      <c r="E333" s="2" t="s">
        <v>1770</v>
      </c>
      <c r="F333" s="2" t="s">
        <v>2404</v>
      </c>
      <c r="G333" s="2">
        <v>75</v>
      </c>
      <c r="H333" s="2" t="s">
        <v>2405</v>
      </c>
      <c r="I333" s="2">
        <v>23</v>
      </c>
      <c r="J333" s="2" t="s">
        <v>2406</v>
      </c>
      <c r="K333" s="2">
        <v>52</v>
      </c>
      <c r="L333" s="2" t="s">
        <v>33</v>
      </c>
      <c r="M333" s="2"/>
      <c r="N333" s="7" t="s">
        <v>2342</v>
      </c>
      <c r="O333" s="2" t="s">
        <v>2407</v>
      </c>
      <c r="P333" s="2" t="s">
        <v>37</v>
      </c>
      <c r="Q333" s="2" t="s">
        <v>42</v>
      </c>
      <c r="R333" s="2" t="s">
        <v>42</v>
      </c>
      <c r="S333" s="2"/>
      <c r="T333" s="2" t="s">
        <v>2344</v>
      </c>
      <c r="U333" s="2">
        <v>39543239</v>
      </c>
      <c r="V333" s="2"/>
      <c r="W333" s="2"/>
      <c r="X333" s="2"/>
      <c r="Y333" s="2" t="s">
        <v>2345</v>
      </c>
      <c r="Z333" s="2" t="s">
        <v>452</v>
      </c>
      <c r="AA333" s="2"/>
    </row>
    <row r="334" spans="1:27" x14ac:dyDescent="0.2">
      <c r="A334" s="2" t="s">
        <v>2408</v>
      </c>
      <c r="B334" s="2" t="s">
        <v>2409</v>
      </c>
      <c r="C334" s="2"/>
      <c r="D334" s="2"/>
      <c r="E334" s="2" t="s">
        <v>1770</v>
      </c>
      <c r="F334" s="2" t="s">
        <v>2410</v>
      </c>
      <c r="G334" s="2">
        <v>74</v>
      </c>
      <c r="H334" s="2" t="s">
        <v>2411</v>
      </c>
      <c r="I334" s="2">
        <v>23</v>
      </c>
      <c r="J334" s="2" t="s">
        <v>2412</v>
      </c>
      <c r="K334" s="2">
        <v>51</v>
      </c>
      <c r="L334" s="2" t="s">
        <v>33</v>
      </c>
      <c r="M334" s="2"/>
      <c r="N334" s="7" t="s">
        <v>2342</v>
      </c>
      <c r="O334" s="2" t="s">
        <v>2413</v>
      </c>
      <c r="P334" s="2" t="s">
        <v>37</v>
      </c>
      <c r="Q334" s="2" t="s">
        <v>42</v>
      </c>
      <c r="R334" s="2" t="s">
        <v>42</v>
      </c>
      <c r="S334" s="2"/>
      <c r="T334" s="2" t="s">
        <v>2344</v>
      </c>
      <c r="U334" s="2">
        <v>39543239</v>
      </c>
      <c r="V334" s="2"/>
      <c r="W334" s="2"/>
      <c r="X334" s="2"/>
      <c r="Y334" s="2" t="s">
        <v>2345</v>
      </c>
      <c r="Z334" s="2" t="s">
        <v>452</v>
      </c>
      <c r="AA334" s="2"/>
    </row>
    <row r="335" spans="1:27" x14ac:dyDescent="0.2">
      <c r="A335" s="2" t="s">
        <v>2414</v>
      </c>
      <c r="B335" s="2" t="s">
        <v>2415</v>
      </c>
      <c r="C335" s="2"/>
      <c r="D335" s="2"/>
      <c r="E335" s="2" t="s">
        <v>1770</v>
      </c>
      <c r="F335" s="2" t="s">
        <v>2416</v>
      </c>
      <c r="G335" s="2">
        <v>59</v>
      </c>
      <c r="H335" s="2" t="s">
        <v>2417</v>
      </c>
      <c r="I335" s="2">
        <v>23</v>
      </c>
      <c r="J335" s="2" t="s">
        <v>2418</v>
      </c>
      <c r="K335" s="2">
        <v>36</v>
      </c>
      <c r="L335" s="2" t="s">
        <v>33</v>
      </c>
      <c r="M335" s="2"/>
      <c r="N335" s="7" t="s">
        <v>2342</v>
      </c>
      <c r="O335" s="2" t="s">
        <v>2419</v>
      </c>
      <c r="P335" s="2" t="s">
        <v>37</v>
      </c>
      <c r="Q335" s="2" t="s">
        <v>42</v>
      </c>
      <c r="R335" s="2" t="s">
        <v>42</v>
      </c>
      <c r="S335" s="2"/>
      <c r="T335" s="2" t="s">
        <v>2344</v>
      </c>
      <c r="U335" s="2">
        <v>39543239</v>
      </c>
      <c r="V335" s="2"/>
      <c r="W335" s="2"/>
      <c r="X335" s="2"/>
      <c r="Y335" s="2" t="s">
        <v>2345</v>
      </c>
      <c r="Z335" s="2" t="s">
        <v>452</v>
      </c>
      <c r="AA335" s="2"/>
    </row>
    <row r="336" spans="1:27" x14ac:dyDescent="0.2">
      <c r="A336" s="2" t="s">
        <v>2420</v>
      </c>
      <c r="B336" s="2" t="s">
        <v>2421</v>
      </c>
      <c r="C336" s="2"/>
      <c r="D336" s="2"/>
      <c r="E336" s="2" t="s">
        <v>1770</v>
      </c>
      <c r="F336" s="2" t="s">
        <v>2422</v>
      </c>
      <c r="G336" s="2">
        <v>80</v>
      </c>
      <c r="H336" s="2" t="s">
        <v>2127</v>
      </c>
      <c r="I336" s="2">
        <v>23</v>
      </c>
      <c r="J336" s="2" t="s">
        <v>2423</v>
      </c>
      <c r="K336" s="2">
        <v>57</v>
      </c>
      <c r="L336" s="2" t="s">
        <v>33</v>
      </c>
      <c r="M336" s="2"/>
      <c r="N336" s="7" t="s">
        <v>2342</v>
      </c>
      <c r="O336" s="2" t="s">
        <v>2424</v>
      </c>
      <c r="P336" s="2" t="s">
        <v>37</v>
      </c>
      <c r="Q336" s="2" t="s">
        <v>42</v>
      </c>
      <c r="R336" s="2" t="s">
        <v>42</v>
      </c>
      <c r="S336" s="2"/>
      <c r="T336" s="2" t="s">
        <v>2344</v>
      </c>
      <c r="U336" s="2">
        <v>39543239</v>
      </c>
      <c r="V336" s="2"/>
      <c r="W336" s="2"/>
      <c r="X336" s="2"/>
      <c r="Y336" s="2" t="s">
        <v>2345</v>
      </c>
      <c r="Z336" s="2" t="s">
        <v>452</v>
      </c>
      <c r="AA336" s="2"/>
    </row>
    <row r="337" spans="1:27" x14ac:dyDescent="0.2">
      <c r="A337" s="2" t="s">
        <v>2425</v>
      </c>
      <c r="B337" s="2" t="s">
        <v>2426</v>
      </c>
      <c r="C337" s="2"/>
      <c r="D337" s="2"/>
      <c r="E337" s="2" t="s">
        <v>1770</v>
      </c>
      <c r="F337" s="2" t="s">
        <v>2427</v>
      </c>
      <c r="G337" s="2">
        <v>76</v>
      </c>
      <c r="H337" s="2" t="s">
        <v>2428</v>
      </c>
      <c r="I337" s="2">
        <v>23</v>
      </c>
      <c r="J337" s="2" t="s">
        <v>2429</v>
      </c>
      <c r="K337" s="2">
        <v>53</v>
      </c>
      <c r="L337" s="2" t="s">
        <v>33</v>
      </c>
      <c r="M337" s="2"/>
      <c r="N337" s="7" t="s">
        <v>2342</v>
      </c>
      <c r="O337" s="2" t="s">
        <v>2343</v>
      </c>
      <c r="P337" s="2" t="s">
        <v>37</v>
      </c>
      <c r="Q337" s="2" t="s">
        <v>42</v>
      </c>
      <c r="R337" s="2" t="s">
        <v>42</v>
      </c>
      <c r="S337" s="2"/>
      <c r="T337" s="2" t="s">
        <v>2344</v>
      </c>
      <c r="U337" s="2">
        <v>39543239</v>
      </c>
      <c r="V337" s="2"/>
      <c r="W337" s="2"/>
      <c r="X337" s="2"/>
      <c r="Y337" s="2" t="s">
        <v>2345</v>
      </c>
      <c r="Z337" s="2" t="s">
        <v>452</v>
      </c>
      <c r="AA337" s="2"/>
    </row>
    <row r="338" spans="1:27" x14ac:dyDescent="0.2">
      <c r="A338" s="2" t="s">
        <v>2430</v>
      </c>
      <c r="B338" s="2" t="s">
        <v>2431</v>
      </c>
      <c r="C338" s="2"/>
      <c r="D338" s="2"/>
      <c r="E338" s="2" t="s">
        <v>1770</v>
      </c>
      <c r="F338" s="2" t="s">
        <v>2432</v>
      </c>
      <c r="G338" s="2">
        <v>66</v>
      </c>
      <c r="H338" s="2" t="s">
        <v>2433</v>
      </c>
      <c r="I338" s="2">
        <v>22</v>
      </c>
      <c r="J338" s="2" t="s">
        <v>2434</v>
      </c>
      <c r="K338" s="2">
        <v>44</v>
      </c>
      <c r="L338" s="2" t="s">
        <v>33</v>
      </c>
      <c r="M338" s="2"/>
      <c r="N338" s="7" t="s">
        <v>2342</v>
      </c>
      <c r="O338" s="2" t="s">
        <v>2435</v>
      </c>
      <c r="P338" s="2" t="s">
        <v>37</v>
      </c>
      <c r="Q338" s="2" t="s">
        <v>42</v>
      </c>
      <c r="R338" s="2" t="s">
        <v>42</v>
      </c>
      <c r="S338" s="2"/>
      <c r="T338" s="2" t="s">
        <v>2344</v>
      </c>
      <c r="U338" s="2">
        <v>39543239</v>
      </c>
      <c r="V338" s="2"/>
      <c r="W338" s="2"/>
      <c r="X338" s="2"/>
      <c r="Y338" s="2" t="s">
        <v>2345</v>
      </c>
      <c r="Z338" s="2" t="s">
        <v>452</v>
      </c>
      <c r="AA338" s="2"/>
    </row>
    <row r="339" spans="1:27" x14ac:dyDescent="0.2">
      <c r="A339" s="2" t="s">
        <v>2436</v>
      </c>
      <c r="B339" s="2" t="s">
        <v>2437</v>
      </c>
      <c r="C339" s="2"/>
      <c r="D339" s="2"/>
      <c r="E339" s="2" t="s">
        <v>1586</v>
      </c>
      <c r="F339" s="2" t="s">
        <v>2438</v>
      </c>
      <c r="G339" s="2">
        <v>52</v>
      </c>
      <c r="H339" s="2"/>
      <c r="I339" s="2">
        <v>0</v>
      </c>
      <c r="J339" s="2" t="s">
        <v>2438</v>
      </c>
      <c r="K339" s="2">
        <v>52</v>
      </c>
      <c r="L339" s="2" t="s">
        <v>1167</v>
      </c>
      <c r="M339" s="2"/>
      <c r="N339" s="7" t="s">
        <v>2439</v>
      </c>
      <c r="O339" s="2"/>
      <c r="P339" s="2" t="s">
        <v>37</v>
      </c>
      <c r="Q339" s="2" t="s">
        <v>42</v>
      </c>
      <c r="R339" s="2" t="s">
        <v>42</v>
      </c>
      <c r="S339" s="2"/>
      <c r="T339" s="2" t="s">
        <v>2440</v>
      </c>
      <c r="U339" s="2">
        <v>39404462</v>
      </c>
      <c r="V339" s="2"/>
      <c r="W339" s="2"/>
      <c r="X339" s="2"/>
      <c r="Y339" s="2" t="s">
        <v>2441</v>
      </c>
      <c r="Z339" s="2" t="s">
        <v>452</v>
      </c>
      <c r="AA339" s="2"/>
    </row>
    <row r="340" spans="1:27" x14ac:dyDescent="0.2">
      <c r="A340" s="2" t="s">
        <v>2442</v>
      </c>
      <c r="B340" s="2" t="s">
        <v>2443</v>
      </c>
      <c r="C340" s="2"/>
      <c r="D340" s="2"/>
      <c r="E340" s="2" t="s">
        <v>1586</v>
      </c>
      <c r="F340" s="2" t="s">
        <v>2444</v>
      </c>
      <c r="G340" s="2">
        <v>52</v>
      </c>
      <c r="H340" s="2"/>
      <c r="I340" s="2">
        <v>0</v>
      </c>
      <c r="J340" s="2" t="s">
        <v>2444</v>
      </c>
      <c r="K340" s="2">
        <v>52</v>
      </c>
      <c r="L340" s="2" t="s">
        <v>1167</v>
      </c>
      <c r="M340" s="2"/>
      <c r="N340" s="7" t="s">
        <v>2445</v>
      </c>
      <c r="O340" s="2"/>
      <c r="P340" s="2" t="s">
        <v>37</v>
      </c>
      <c r="Q340" s="2" t="s">
        <v>42</v>
      </c>
      <c r="R340" s="2" t="s">
        <v>42</v>
      </c>
      <c r="S340" s="2"/>
      <c r="T340" s="2" t="s">
        <v>2440</v>
      </c>
      <c r="U340" s="2">
        <v>39404462</v>
      </c>
      <c r="V340" s="2"/>
      <c r="W340" s="2"/>
      <c r="X340" s="2"/>
      <c r="Y340" s="2" t="s">
        <v>2441</v>
      </c>
      <c r="Z340" s="2" t="s">
        <v>452</v>
      </c>
      <c r="AA340" s="2"/>
    </row>
    <row r="341" spans="1:27" x14ac:dyDescent="0.2">
      <c r="A341" s="2" t="s">
        <v>2446</v>
      </c>
      <c r="B341" s="2" t="s">
        <v>1287</v>
      </c>
      <c r="C341" s="2"/>
      <c r="D341" s="2" t="s">
        <v>1286</v>
      </c>
      <c r="E341" s="2" t="s">
        <v>1586</v>
      </c>
      <c r="F341" s="2" t="s">
        <v>2447</v>
      </c>
      <c r="G341" s="2">
        <v>44</v>
      </c>
      <c r="H341" s="2"/>
      <c r="I341" s="2">
        <v>0</v>
      </c>
      <c r="J341" s="2" t="s">
        <v>2447</v>
      </c>
      <c r="K341" s="2">
        <v>44</v>
      </c>
      <c r="L341" s="2" t="s">
        <v>1167</v>
      </c>
      <c r="M341" s="2"/>
      <c r="N341" s="7" t="s">
        <v>2448</v>
      </c>
      <c r="O341" s="2" t="s">
        <v>2449</v>
      </c>
      <c r="P341" s="2" t="s">
        <v>37</v>
      </c>
      <c r="Q341" s="2" t="s">
        <v>42</v>
      </c>
      <c r="R341" s="2" t="s">
        <v>42</v>
      </c>
      <c r="S341" s="2"/>
      <c r="T341" s="2" t="s">
        <v>2450</v>
      </c>
      <c r="U341" s="2">
        <v>38775468</v>
      </c>
      <c r="V341" s="2"/>
      <c r="W341" s="2"/>
      <c r="X341" s="2"/>
      <c r="Y341" s="2" t="s">
        <v>2451</v>
      </c>
      <c r="Z341" s="2" t="s">
        <v>42</v>
      </c>
      <c r="AA341" s="2"/>
    </row>
    <row r="342" spans="1:27" x14ac:dyDescent="0.2">
      <c r="A342" s="22" t="s">
        <v>2452</v>
      </c>
      <c r="B342" s="22" t="s">
        <v>2453</v>
      </c>
      <c r="C342" s="22"/>
      <c r="D342" s="22"/>
      <c r="E342" s="22" t="s">
        <v>1770</v>
      </c>
      <c r="F342" s="22" t="s">
        <v>2454</v>
      </c>
      <c r="G342" s="22">
        <v>47</v>
      </c>
      <c r="H342" s="22" t="s">
        <v>2455</v>
      </c>
      <c r="I342" s="22">
        <v>25</v>
      </c>
      <c r="J342" s="22" t="s">
        <v>2456</v>
      </c>
      <c r="K342" s="22">
        <v>22</v>
      </c>
      <c r="L342" s="22" t="s">
        <v>33</v>
      </c>
      <c r="M342" s="22"/>
      <c r="N342" s="23" t="s">
        <v>520</v>
      </c>
      <c r="O342" s="22" t="s">
        <v>2457</v>
      </c>
      <c r="P342" s="22" t="s">
        <v>37</v>
      </c>
      <c r="Q342" s="22" t="s">
        <v>42</v>
      </c>
      <c r="R342" s="22" t="s">
        <v>42</v>
      </c>
      <c r="S342" s="22"/>
      <c r="T342" s="22" t="s">
        <v>2458</v>
      </c>
      <c r="U342" s="22">
        <v>39102120</v>
      </c>
      <c r="V342" s="22"/>
      <c r="W342" s="22"/>
      <c r="X342" s="22"/>
      <c r="Y342" s="22" t="s">
        <v>2459</v>
      </c>
      <c r="Z342" s="22" t="s">
        <v>452</v>
      </c>
      <c r="AA342" s="22"/>
    </row>
  </sheetData>
  <mergeCells count="534">
    <mergeCell ref="B8:C8"/>
    <mergeCell ref="B9:C9"/>
    <mergeCell ref="B10:C10"/>
    <mergeCell ref="B11:C11"/>
    <mergeCell ref="B12:C12"/>
    <mergeCell ref="B13:C13"/>
    <mergeCell ref="B2:C2"/>
    <mergeCell ref="B3:C3"/>
    <mergeCell ref="B4:C4"/>
    <mergeCell ref="B5:C5"/>
    <mergeCell ref="B6:C6"/>
    <mergeCell ref="B7:C7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32:C32"/>
    <mergeCell ref="B33:C33"/>
    <mergeCell ref="B34:C34"/>
    <mergeCell ref="B35:C35"/>
    <mergeCell ref="B36:C36"/>
    <mergeCell ref="B37:C37"/>
    <mergeCell ref="B26:C26"/>
    <mergeCell ref="B27:C27"/>
    <mergeCell ref="B28:C28"/>
    <mergeCell ref="B29:C29"/>
    <mergeCell ref="B30:C30"/>
    <mergeCell ref="B31:C31"/>
    <mergeCell ref="B44:C44"/>
    <mergeCell ref="B45:C45"/>
    <mergeCell ref="B46:C46"/>
    <mergeCell ref="B47:C47"/>
    <mergeCell ref="B48:C48"/>
    <mergeCell ref="B49:C49"/>
    <mergeCell ref="B38:C38"/>
    <mergeCell ref="B39:C39"/>
    <mergeCell ref="B40:C40"/>
    <mergeCell ref="B41:C41"/>
    <mergeCell ref="B42:C42"/>
    <mergeCell ref="B43:C43"/>
    <mergeCell ref="B56:C56"/>
    <mergeCell ref="B57:C57"/>
    <mergeCell ref="B58:C58"/>
    <mergeCell ref="B59:C59"/>
    <mergeCell ref="B60:C60"/>
    <mergeCell ref="B61:C61"/>
    <mergeCell ref="B50:C50"/>
    <mergeCell ref="B51:C51"/>
    <mergeCell ref="B52:C52"/>
    <mergeCell ref="B53:C53"/>
    <mergeCell ref="B54:C54"/>
    <mergeCell ref="B55:C55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B80:C80"/>
    <mergeCell ref="B81:C81"/>
    <mergeCell ref="B82:B83"/>
    <mergeCell ref="N82:N83"/>
    <mergeCell ref="O82:O83"/>
    <mergeCell ref="S82:S83"/>
    <mergeCell ref="B74:C74"/>
    <mergeCell ref="B75:C75"/>
    <mergeCell ref="B76:C76"/>
    <mergeCell ref="B77:C77"/>
    <mergeCell ref="B78:C78"/>
    <mergeCell ref="B79:C79"/>
    <mergeCell ref="T82:T83"/>
    <mergeCell ref="U82:U83"/>
    <mergeCell ref="Y82:Y83"/>
    <mergeCell ref="B84:B85"/>
    <mergeCell ref="N84:N85"/>
    <mergeCell ref="O84:O85"/>
    <mergeCell ref="S84:S85"/>
    <mergeCell ref="T84:T85"/>
    <mergeCell ref="U84:U85"/>
    <mergeCell ref="Y84:Y85"/>
    <mergeCell ref="Y86:Y87"/>
    <mergeCell ref="B88:B89"/>
    <mergeCell ref="N88:N89"/>
    <mergeCell ref="O88:O89"/>
    <mergeCell ref="S88:S89"/>
    <mergeCell ref="T88:T89"/>
    <mergeCell ref="U88:U89"/>
    <mergeCell ref="Y88:Y89"/>
    <mergeCell ref="B86:B87"/>
    <mergeCell ref="N86:N87"/>
    <mergeCell ref="O86:O87"/>
    <mergeCell ref="S86:S87"/>
    <mergeCell ref="T86:T87"/>
    <mergeCell ref="U86:U87"/>
    <mergeCell ref="Y90:Y91"/>
    <mergeCell ref="B92:B93"/>
    <mergeCell ref="N92:N93"/>
    <mergeCell ref="O92:O93"/>
    <mergeCell ref="S92:S93"/>
    <mergeCell ref="T92:T93"/>
    <mergeCell ref="U92:U93"/>
    <mergeCell ref="Y92:Y93"/>
    <mergeCell ref="B90:B91"/>
    <mergeCell ref="N90:N91"/>
    <mergeCell ref="O90:O91"/>
    <mergeCell ref="S90:S91"/>
    <mergeCell ref="T90:T91"/>
    <mergeCell ref="U90:U91"/>
    <mergeCell ref="Y94:Y95"/>
    <mergeCell ref="B96:B97"/>
    <mergeCell ref="N96:N97"/>
    <mergeCell ref="O96:O97"/>
    <mergeCell ref="S96:S97"/>
    <mergeCell ref="T96:T97"/>
    <mergeCell ref="U96:U97"/>
    <mergeCell ref="Y96:Y97"/>
    <mergeCell ref="B94:B95"/>
    <mergeCell ref="N94:N95"/>
    <mergeCell ref="O94:O95"/>
    <mergeCell ref="S94:S95"/>
    <mergeCell ref="T94:T95"/>
    <mergeCell ref="U94:U95"/>
    <mergeCell ref="Y98:Y99"/>
    <mergeCell ref="B100:B101"/>
    <mergeCell ref="N100:N101"/>
    <mergeCell ref="O100:O101"/>
    <mergeCell ref="S100:S101"/>
    <mergeCell ref="T100:T101"/>
    <mergeCell ref="U100:U101"/>
    <mergeCell ref="Y100:Y101"/>
    <mergeCell ref="B98:B99"/>
    <mergeCell ref="N98:N99"/>
    <mergeCell ref="O98:O99"/>
    <mergeCell ref="S98:S99"/>
    <mergeCell ref="T98:T99"/>
    <mergeCell ref="U98:U99"/>
    <mergeCell ref="Y102:Y103"/>
    <mergeCell ref="B104:B105"/>
    <mergeCell ref="N104:N105"/>
    <mergeCell ref="O104:O105"/>
    <mergeCell ref="S104:S105"/>
    <mergeCell ref="T104:T105"/>
    <mergeCell ref="U104:U105"/>
    <mergeCell ref="Y104:Y105"/>
    <mergeCell ref="B102:B103"/>
    <mergeCell ref="N102:N103"/>
    <mergeCell ref="O102:O103"/>
    <mergeCell ref="S102:S103"/>
    <mergeCell ref="T102:T103"/>
    <mergeCell ref="U102:U103"/>
    <mergeCell ref="Y106:Y107"/>
    <mergeCell ref="B108:B109"/>
    <mergeCell ref="N108:N109"/>
    <mergeCell ref="O108:O109"/>
    <mergeCell ref="S108:S109"/>
    <mergeCell ref="T108:T109"/>
    <mergeCell ref="U108:U109"/>
    <mergeCell ref="Y108:Y109"/>
    <mergeCell ref="B106:B107"/>
    <mergeCell ref="N106:N107"/>
    <mergeCell ref="O106:O107"/>
    <mergeCell ref="S106:S107"/>
    <mergeCell ref="T106:T107"/>
    <mergeCell ref="U106:U107"/>
    <mergeCell ref="Y110:Y111"/>
    <mergeCell ref="B112:B113"/>
    <mergeCell ref="N112:N113"/>
    <mergeCell ref="O112:O113"/>
    <mergeCell ref="S112:S113"/>
    <mergeCell ref="T112:T113"/>
    <mergeCell ref="U112:U113"/>
    <mergeCell ref="Y112:Y113"/>
    <mergeCell ref="B110:B111"/>
    <mergeCell ref="N110:N111"/>
    <mergeCell ref="O110:O111"/>
    <mergeCell ref="S110:S111"/>
    <mergeCell ref="T110:T111"/>
    <mergeCell ref="U110:U111"/>
    <mergeCell ref="Y114:Y115"/>
    <mergeCell ref="B116:B117"/>
    <mergeCell ref="N116:N117"/>
    <mergeCell ref="O116:O117"/>
    <mergeCell ref="S116:S117"/>
    <mergeCell ref="T116:T117"/>
    <mergeCell ref="U116:U117"/>
    <mergeCell ref="Y116:Y117"/>
    <mergeCell ref="B114:B115"/>
    <mergeCell ref="N114:N115"/>
    <mergeCell ref="O114:O115"/>
    <mergeCell ref="S114:S115"/>
    <mergeCell ref="T114:T115"/>
    <mergeCell ref="U114:U115"/>
    <mergeCell ref="Y118:Y119"/>
    <mergeCell ref="B120:B121"/>
    <mergeCell ref="N120:N121"/>
    <mergeCell ref="O120:O121"/>
    <mergeCell ref="S120:S121"/>
    <mergeCell ref="T120:T121"/>
    <mergeCell ref="U120:U121"/>
    <mergeCell ref="Y120:Y121"/>
    <mergeCell ref="B118:B119"/>
    <mergeCell ref="N118:N119"/>
    <mergeCell ref="O118:O119"/>
    <mergeCell ref="S118:S119"/>
    <mergeCell ref="T118:T119"/>
    <mergeCell ref="U118:U119"/>
    <mergeCell ref="Y122:Y123"/>
    <mergeCell ref="B124:B125"/>
    <mergeCell ref="N124:N125"/>
    <mergeCell ref="O124:O125"/>
    <mergeCell ref="S124:S125"/>
    <mergeCell ref="T124:T125"/>
    <mergeCell ref="U124:U125"/>
    <mergeCell ref="Y124:Y125"/>
    <mergeCell ref="B122:B123"/>
    <mergeCell ref="N122:N123"/>
    <mergeCell ref="O122:O123"/>
    <mergeCell ref="S122:S123"/>
    <mergeCell ref="T122:T123"/>
    <mergeCell ref="U122:U123"/>
    <mergeCell ref="Y126:Y127"/>
    <mergeCell ref="B128:B129"/>
    <mergeCell ref="N128:N129"/>
    <mergeCell ref="O128:O129"/>
    <mergeCell ref="S128:S129"/>
    <mergeCell ref="T128:T129"/>
    <mergeCell ref="U128:U129"/>
    <mergeCell ref="Y128:Y129"/>
    <mergeCell ref="B126:B127"/>
    <mergeCell ref="N126:N127"/>
    <mergeCell ref="O126:O127"/>
    <mergeCell ref="S126:S127"/>
    <mergeCell ref="T126:T127"/>
    <mergeCell ref="U126:U127"/>
    <mergeCell ref="AA132:AA133"/>
    <mergeCell ref="B134:B135"/>
    <mergeCell ref="N134:N135"/>
    <mergeCell ref="O134:O135"/>
    <mergeCell ref="S134:S135"/>
    <mergeCell ref="T134:T135"/>
    <mergeCell ref="U134:U135"/>
    <mergeCell ref="Y134:Y135"/>
    <mergeCell ref="Y130:Y131"/>
    <mergeCell ref="B132:B133"/>
    <mergeCell ref="N132:N133"/>
    <mergeCell ref="O132:O133"/>
    <mergeCell ref="S132:S133"/>
    <mergeCell ref="T132:T133"/>
    <mergeCell ref="U132:U133"/>
    <mergeCell ref="Y132:Y133"/>
    <mergeCell ref="B130:B131"/>
    <mergeCell ref="N130:N131"/>
    <mergeCell ref="O130:O131"/>
    <mergeCell ref="S130:S131"/>
    <mergeCell ref="T130:T131"/>
    <mergeCell ref="U130:U131"/>
    <mergeCell ref="B140:B141"/>
    <mergeCell ref="B142:B143"/>
    <mergeCell ref="B144:B145"/>
    <mergeCell ref="B146:B147"/>
    <mergeCell ref="B148:B149"/>
    <mergeCell ref="B150:B151"/>
    <mergeCell ref="Y136:Y137"/>
    <mergeCell ref="B138:B139"/>
    <mergeCell ref="N138:N139"/>
    <mergeCell ref="O138:O139"/>
    <mergeCell ref="S138:S139"/>
    <mergeCell ref="T138:T139"/>
    <mergeCell ref="U138:U139"/>
    <mergeCell ref="Y138:Y139"/>
    <mergeCell ref="B136:B137"/>
    <mergeCell ref="N136:N137"/>
    <mergeCell ref="O136:O137"/>
    <mergeCell ref="S136:S137"/>
    <mergeCell ref="T136:T137"/>
    <mergeCell ref="U136:U137"/>
    <mergeCell ref="AA150:AA151"/>
    <mergeCell ref="B152:B153"/>
    <mergeCell ref="N152:N153"/>
    <mergeCell ref="O152:O153"/>
    <mergeCell ref="S152:S153"/>
    <mergeCell ref="T152:T153"/>
    <mergeCell ref="U152:U153"/>
    <mergeCell ref="Y152:Y153"/>
    <mergeCell ref="AA152:AA153"/>
    <mergeCell ref="N150:N151"/>
    <mergeCell ref="O150:O151"/>
    <mergeCell ref="S150:S151"/>
    <mergeCell ref="T150:T151"/>
    <mergeCell ref="U150:U151"/>
    <mergeCell ref="Y150:Y151"/>
    <mergeCell ref="Y154:Y155"/>
    <mergeCell ref="AA154:AA155"/>
    <mergeCell ref="B156:B157"/>
    <mergeCell ref="N156:N157"/>
    <mergeCell ref="O156:O157"/>
    <mergeCell ref="S156:S157"/>
    <mergeCell ref="T156:T157"/>
    <mergeCell ref="U156:U157"/>
    <mergeCell ref="Y156:Y157"/>
    <mergeCell ref="AA156:AA157"/>
    <mergeCell ref="B154:B155"/>
    <mergeCell ref="N154:N155"/>
    <mergeCell ref="O154:O155"/>
    <mergeCell ref="S154:S155"/>
    <mergeCell ref="T154:T155"/>
    <mergeCell ref="U154:U155"/>
    <mergeCell ref="Y158:Y159"/>
    <mergeCell ref="AA158:AA159"/>
    <mergeCell ref="B160:B161"/>
    <mergeCell ref="N160:N161"/>
    <mergeCell ref="O160:O161"/>
    <mergeCell ref="S160:S161"/>
    <mergeCell ref="T160:T161"/>
    <mergeCell ref="U160:U161"/>
    <mergeCell ref="Y160:Y161"/>
    <mergeCell ref="AA160:AA161"/>
    <mergeCell ref="B158:B159"/>
    <mergeCell ref="N158:N159"/>
    <mergeCell ref="O158:O159"/>
    <mergeCell ref="S158:S159"/>
    <mergeCell ref="T158:T159"/>
    <mergeCell ref="U158:U159"/>
    <mergeCell ref="B168:C168"/>
    <mergeCell ref="B169:C169"/>
    <mergeCell ref="B170:C170"/>
    <mergeCell ref="B171:C171"/>
    <mergeCell ref="B172:C172"/>
    <mergeCell ref="B173:C173"/>
    <mergeCell ref="B162:C162"/>
    <mergeCell ref="B163:C163"/>
    <mergeCell ref="B164:C164"/>
    <mergeCell ref="B165:C165"/>
    <mergeCell ref="B166:C166"/>
    <mergeCell ref="B167:C167"/>
    <mergeCell ref="B180:C180"/>
    <mergeCell ref="B181:C181"/>
    <mergeCell ref="B182:C182"/>
    <mergeCell ref="B183:C183"/>
    <mergeCell ref="B184:C184"/>
    <mergeCell ref="B185:C185"/>
    <mergeCell ref="B174:C174"/>
    <mergeCell ref="B175:C175"/>
    <mergeCell ref="B176:C176"/>
    <mergeCell ref="B177:C177"/>
    <mergeCell ref="B178:C178"/>
    <mergeCell ref="B179:C179"/>
    <mergeCell ref="B192:C192"/>
    <mergeCell ref="B193:C193"/>
    <mergeCell ref="B194:B195"/>
    <mergeCell ref="N194:N195"/>
    <mergeCell ref="O194:O195"/>
    <mergeCell ref="S194:S195"/>
    <mergeCell ref="B186:C186"/>
    <mergeCell ref="B187:C187"/>
    <mergeCell ref="B188:C188"/>
    <mergeCell ref="B189:C189"/>
    <mergeCell ref="B190:C190"/>
    <mergeCell ref="B191:C191"/>
    <mergeCell ref="T194:T195"/>
    <mergeCell ref="U194:U195"/>
    <mergeCell ref="Y194:Y195"/>
    <mergeCell ref="AA194:AA195"/>
    <mergeCell ref="B196:B197"/>
    <mergeCell ref="N196:N197"/>
    <mergeCell ref="O196:O197"/>
    <mergeCell ref="S196:S197"/>
    <mergeCell ref="T196:T197"/>
    <mergeCell ref="U196:U197"/>
    <mergeCell ref="Y196:Y197"/>
    <mergeCell ref="AA196:AA197"/>
    <mergeCell ref="B198:B200"/>
    <mergeCell ref="N198:N200"/>
    <mergeCell ref="O198:O200"/>
    <mergeCell ref="S198:S200"/>
    <mergeCell ref="T198:T200"/>
    <mergeCell ref="U198:U200"/>
    <mergeCell ref="Y198:Y200"/>
    <mergeCell ref="AA198:AA200"/>
    <mergeCell ref="Y201:Y204"/>
    <mergeCell ref="AA201:AA204"/>
    <mergeCell ref="B205:B207"/>
    <mergeCell ref="N205:N207"/>
    <mergeCell ref="O205:O207"/>
    <mergeCell ref="S205:S207"/>
    <mergeCell ref="T205:T207"/>
    <mergeCell ref="U205:U207"/>
    <mergeCell ref="Y205:Y207"/>
    <mergeCell ref="AA205:AA207"/>
    <mergeCell ref="B201:B204"/>
    <mergeCell ref="N201:N204"/>
    <mergeCell ref="O201:O204"/>
    <mergeCell ref="S201:S204"/>
    <mergeCell ref="T201:T204"/>
    <mergeCell ref="U201:U204"/>
    <mergeCell ref="Y208:Y210"/>
    <mergeCell ref="AA208:AA210"/>
    <mergeCell ref="B211:B214"/>
    <mergeCell ref="N211:N214"/>
    <mergeCell ref="O211:O214"/>
    <mergeCell ref="S211:S214"/>
    <mergeCell ref="T211:T214"/>
    <mergeCell ref="U211:U214"/>
    <mergeCell ref="Y211:Y214"/>
    <mergeCell ref="AA211:AA214"/>
    <mergeCell ref="B208:B210"/>
    <mergeCell ref="N208:N210"/>
    <mergeCell ref="O208:O210"/>
    <mergeCell ref="S208:S210"/>
    <mergeCell ref="T208:T210"/>
    <mergeCell ref="U208:U210"/>
    <mergeCell ref="AA215:AA216"/>
    <mergeCell ref="B217:C217"/>
    <mergeCell ref="B218:C218"/>
    <mergeCell ref="B219:C219"/>
    <mergeCell ref="B220:C220"/>
    <mergeCell ref="B221:C221"/>
    <mergeCell ref="B215:B216"/>
    <mergeCell ref="N215:N216"/>
    <mergeCell ref="O215:O216"/>
    <mergeCell ref="T215:T216"/>
    <mergeCell ref="U215:U216"/>
    <mergeCell ref="Y215:Y216"/>
    <mergeCell ref="B228:C228"/>
    <mergeCell ref="B229:C229"/>
    <mergeCell ref="B230:C230"/>
    <mergeCell ref="B233:C233"/>
    <mergeCell ref="B234:C234"/>
    <mergeCell ref="B235:C235"/>
    <mergeCell ref="B222:C222"/>
    <mergeCell ref="B223:C223"/>
    <mergeCell ref="B224:C224"/>
    <mergeCell ref="B225:C225"/>
    <mergeCell ref="B226:C226"/>
    <mergeCell ref="B227:C227"/>
    <mergeCell ref="B242:C242"/>
    <mergeCell ref="B243:C243"/>
    <mergeCell ref="B244:C244"/>
    <mergeCell ref="B245:C245"/>
    <mergeCell ref="B246:C246"/>
    <mergeCell ref="B247:C247"/>
    <mergeCell ref="B236:C236"/>
    <mergeCell ref="B237:C237"/>
    <mergeCell ref="B238:C238"/>
    <mergeCell ref="B239:C239"/>
    <mergeCell ref="B240:C240"/>
    <mergeCell ref="B241:C241"/>
    <mergeCell ref="B254:C254"/>
    <mergeCell ref="B255:C255"/>
    <mergeCell ref="B256:C256"/>
    <mergeCell ref="B257:C257"/>
    <mergeCell ref="B258:C258"/>
    <mergeCell ref="B259:C259"/>
    <mergeCell ref="B248:C248"/>
    <mergeCell ref="B249:C249"/>
    <mergeCell ref="B250:C250"/>
    <mergeCell ref="B251:C251"/>
    <mergeCell ref="B252:C252"/>
    <mergeCell ref="B253:C253"/>
    <mergeCell ref="B266:C266"/>
    <mergeCell ref="B267:C267"/>
    <mergeCell ref="B268:C268"/>
    <mergeCell ref="B269:C269"/>
    <mergeCell ref="B270:C270"/>
    <mergeCell ref="B271:C271"/>
    <mergeCell ref="B260:C260"/>
    <mergeCell ref="B261:C261"/>
    <mergeCell ref="B262:C262"/>
    <mergeCell ref="B263:C263"/>
    <mergeCell ref="B264:C264"/>
    <mergeCell ref="B265:C265"/>
    <mergeCell ref="B278:C278"/>
    <mergeCell ref="B279:C279"/>
    <mergeCell ref="B280:C280"/>
    <mergeCell ref="B281:C281"/>
    <mergeCell ref="B282:C282"/>
    <mergeCell ref="B283:C283"/>
    <mergeCell ref="B272:C272"/>
    <mergeCell ref="B273:C273"/>
    <mergeCell ref="B274:C274"/>
    <mergeCell ref="B275:C275"/>
    <mergeCell ref="B276:C276"/>
    <mergeCell ref="B277:C277"/>
    <mergeCell ref="B290:C290"/>
    <mergeCell ref="B291:C291"/>
    <mergeCell ref="B292:C292"/>
    <mergeCell ref="B293:C293"/>
    <mergeCell ref="B294:C294"/>
    <mergeCell ref="B295:C295"/>
    <mergeCell ref="B284:C284"/>
    <mergeCell ref="B285:C285"/>
    <mergeCell ref="B286:C286"/>
    <mergeCell ref="B287:C287"/>
    <mergeCell ref="B288:C288"/>
    <mergeCell ref="B289:C289"/>
    <mergeCell ref="AA313:AA314"/>
    <mergeCell ref="B314:C314"/>
    <mergeCell ref="B302:C302"/>
    <mergeCell ref="B303:C303"/>
    <mergeCell ref="B304:C304"/>
    <mergeCell ref="B307:C307"/>
    <mergeCell ref="B308:C308"/>
    <mergeCell ref="B309:C309"/>
    <mergeCell ref="B296:C296"/>
    <mergeCell ref="B297:C297"/>
    <mergeCell ref="B298:C298"/>
    <mergeCell ref="B299:C299"/>
    <mergeCell ref="B300:C300"/>
    <mergeCell ref="B301:C301"/>
    <mergeCell ref="B321:C321"/>
    <mergeCell ref="B315:C315"/>
    <mergeCell ref="B316:C316"/>
    <mergeCell ref="B317:C317"/>
    <mergeCell ref="B318:C318"/>
    <mergeCell ref="B319:C319"/>
    <mergeCell ref="B320:C320"/>
    <mergeCell ref="B310:C310"/>
    <mergeCell ref="B311:C311"/>
    <mergeCell ref="B312:C312"/>
    <mergeCell ref="B313:C313"/>
  </mergeCells>
  <phoneticPr fontId="3" type="noConversion"/>
  <hyperlinks>
    <hyperlink ref="T5" r:id="rId1" display="https://doi.org/10.1128/AEM.01597-09" xr:uid="{2ED38376-9849-DB45-B46D-D11F710E36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zhang</dc:creator>
  <cp:lastModifiedBy>wei zhang</cp:lastModifiedBy>
  <dcterms:created xsi:type="dcterms:W3CDTF">2025-07-23T03:10:29Z</dcterms:created>
  <dcterms:modified xsi:type="dcterms:W3CDTF">2026-05-25T07:14:41Z</dcterms:modified>
</cp:coreProperties>
</file>